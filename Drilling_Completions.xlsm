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240" yWindow="360" windowWidth="20730" windowHeight="11640" tabRatio="756"/>
  </bookViews>
  <sheets>
    <sheet name="Intro" sheetId="17" r:id="rId1"/>
    <sheet name="Input" sheetId="13" r:id="rId2"/>
    <sheet name="SCD" sheetId="12" r:id="rId3"/>
    <sheet name="ICD" sheetId="16" r:id="rId4"/>
    <sheet name="PCD" sheetId="11" r:id="rId5"/>
    <sheet name="OutputData" sheetId="14" r:id="rId6"/>
    <sheet name="SurfaceCasingOutput" sheetId="18" r:id="rId7"/>
    <sheet name="IntermediateOutput" sheetId="19" r:id="rId8"/>
    <sheet name="ProductionCasingOutput" sheetId="20" r:id="rId9"/>
  </sheets>
  <functionGroups builtInGroupCount="17"/>
  <externalReferences>
    <externalReference r:id="rId10"/>
  </externalReferences>
  <definedNames>
    <definedName name="BS">Input!$C$7</definedName>
    <definedName name="Depth__ft" localSheetId="3">[1]Input!$I$11:$I$18</definedName>
    <definedName name="Depth__ft">Input!$I$11:$I$18</definedName>
    <definedName name="Depth1">Input!$J$26</definedName>
    <definedName name="Depth2">Input!$J$27</definedName>
    <definedName name="Depth3">Input!$J$28</definedName>
    <definedName name="Depth4">Input!$J$29</definedName>
    <definedName name="Hang_Angle" localSheetId="7">#REF!</definedName>
    <definedName name="Hang_Angle" localSheetId="8">#REF!</definedName>
    <definedName name="Hang_Angle" localSheetId="6">#REF!</definedName>
    <definedName name="Hang_Angle">#REF!</definedName>
    <definedName name="Hang_Length" localSheetId="7">#REF!</definedName>
    <definedName name="Hang_Length" localSheetId="8">#REF!</definedName>
    <definedName name="Hang_Length" localSheetId="6">#REF!</definedName>
    <definedName name="Hang_Length">#REF!</definedName>
    <definedName name="inv" localSheetId="7">Input!#REF!</definedName>
    <definedName name="inv" localSheetId="8">Input!#REF!</definedName>
    <definedName name="inv" localSheetId="6">Input!#REF!</definedName>
    <definedName name="inv">Input!#REF!</definedName>
    <definedName name="Inven1">Input!$I$26</definedName>
    <definedName name="Inven2">Input!$I$27</definedName>
    <definedName name="Inven3">Input!$I$28</definedName>
    <definedName name="Inven4">Input!$I$29</definedName>
    <definedName name="InvMax">Input!$C$11</definedName>
    <definedName name="InvMin">Input!$C$10</definedName>
    <definedName name="Invv1" localSheetId="7">Input!#REF!</definedName>
    <definedName name="Invv1" localSheetId="8">Input!#REF!</definedName>
    <definedName name="Invv1" localSheetId="6">Input!#REF!</definedName>
    <definedName name="Invv1">Input!#REF!</definedName>
    <definedName name="MaxTypes">Input!$C$9</definedName>
    <definedName name="MinTypes">Input!$C$8</definedName>
    <definedName name="MOP">Input!$L$7</definedName>
    <definedName name="NIF">Input!$L$9</definedName>
    <definedName name="NOF">Input!$I$9</definedName>
    <definedName name="OD">Input!$C$5</definedName>
    <definedName name="PD">Input!$C$23</definedName>
    <definedName name="Pt">Input!$I$7</definedName>
    <definedName name="SFBurst">Input!$C$14</definedName>
    <definedName name="SFCollapse">Input!$C$15</definedName>
    <definedName name="SFJT">Input!$C$16</definedName>
    <definedName name="SFPT">Input!$C$17</definedName>
    <definedName name="TestName">Input!$Q$16</definedName>
    <definedName name="TVD">Input!$C$6</definedName>
  </definedNames>
  <calcPr calcId="145621" concurrentCalc="0"/>
</workbook>
</file>

<file path=xl/calcChain.xml><?xml version="1.0" encoding="utf-8"?>
<calcChain xmlns="http://schemas.openxmlformats.org/spreadsheetml/2006/main">
  <c r="H24" i="17" l="1"/>
  <c r="H16" i="17"/>
  <c r="H8" i="17"/>
  <c r="H26" i="17"/>
  <c r="AB43" i="13"/>
  <c r="AB35" i="13"/>
  <c r="AB27" i="13"/>
  <c r="AB45" i="13"/>
  <c r="Z9" i="13"/>
  <c r="AB18" i="13"/>
  <c r="Z8" i="13"/>
  <c r="L9" i="13"/>
  <c r="I9" i="13"/>
  <c r="R79" i="13"/>
  <c r="R75" i="13"/>
  <c r="H16" i="13"/>
  <c r="H17" i="13"/>
  <c r="H18" i="13"/>
</calcChain>
</file>

<file path=xl/sharedStrings.xml><?xml version="1.0" encoding="utf-8"?>
<sst xmlns="http://schemas.openxmlformats.org/spreadsheetml/2006/main" count="743" uniqueCount="287">
  <si>
    <t>Depth (ft)</t>
  </si>
  <si>
    <t>ID</t>
  </si>
  <si>
    <t>OD</t>
  </si>
  <si>
    <t>Strength</t>
  </si>
  <si>
    <r>
      <rPr>
        <sz val="10"/>
        <rFont val="Arial"/>
        <family val="34"/>
      </rPr>
      <t>K</t>
    </r>
  </si>
  <si>
    <r>
      <rPr>
        <sz val="10"/>
        <rFont val="Arial"/>
        <family val="34"/>
      </rPr>
      <t>STC</t>
    </r>
  </si>
  <si>
    <r>
      <rPr>
        <sz val="10"/>
        <rFont val="Arial"/>
        <family val="34"/>
      </rPr>
      <t>K-55</t>
    </r>
  </si>
  <si>
    <r>
      <rPr>
        <sz val="10"/>
        <rFont val="Arial"/>
        <family val="34"/>
      </rPr>
      <t>$  4.65</t>
    </r>
  </si>
  <si>
    <r>
      <rPr>
        <sz val="10"/>
        <rFont val="Arial"/>
        <family val="34"/>
      </rPr>
      <t>$  5.15</t>
    </r>
  </si>
  <si>
    <r>
      <rPr>
        <sz val="10"/>
        <rFont val="Arial"/>
        <family val="34"/>
      </rPr>
      <t>BTC</t>
    </r>
  </si>
  <si>
    <r>
      <rPr>
        <sz val="10"/>
        <rFont val="Arial"/>
        <family val="34"/>
      </rPr>
      <t>$  5.85</t>
    </r>
  </si>
  <si>
    <r>
      <rPr>
        <sz val="10"/>
        <rFont val="Arial"/>
        <family val="34"/>
      </rPr>
      <t>M</t>
    </r>
  </si>
  <si>
    <r>
      <rPr>
        <sz val="10"/>
        <rFont val="Arial"/>
        <family val="34"/>
      </rPr>
      <t>M-65</t>
    </r>
  </si>
  <si>
    <r>
      <rPr>
        <sz val="10"/>
        <rFont val="Arial"/>
        <family val="34"/>
      </rPr>
      <t>$  5.51</t>
    </r>
  </si>
  <si>
    <r>
      <rPr>
        <sz val="10"/>
        <rFont val="Arial"/>
        <family val="34"/>
      </rPr>
      <t>LTC</t>
    </r>
  </si>
  <si>
    <r>
      <rPr>
        <sz val="10"/>
        <rFont val="Arial"/>
        <family val="34"/>
      </rPr>
      <t>$  5.80</t>
    </r>
  </si>
  <si>
    <r>
      <rPr>
        <sz val="10"/>
        <rFont val="Arial"/>
        <family val="34"/>
      </rPr>
      <t>$  6.40</t>
    </r>
  </si>
  <si>
    <r>
      <rPr>
        <sz val="10"/>
        <rFont val="Arial"/>
        <family val="34"/>
      </rPr>
      <t>$  6.10</t>
    </r>
  </si>
  <si>
    <r>
      <rPr>
        <sz val="10"/>
        <rFont val="Arial"/>
        <family val="34"/>
      </rPr>
      <t>$  6.80</t>
    </r>
  </si>
  <si>
    <r>
      <rPr>
        <sz val="10"/>
        <rFont val="Arial"/>
        <family val="34"/>
      </rPr>
      <t>$  6.85</t>
    </r>
  </si>
  <si>
    <r>
      <rPr>
        <sz val="10"/>
        <rFont val="Arial"/>
        <family val="34"/>
      </rPr>
      <t>$  7.45</t>
    </r>
  </si>
  <si>
    <r>
      <rPr>
        <sz val="10"/>
        <rFont val="Arial"/>
        <family val="34"/>
      </rPr>
      <t>$  7.98</t>
    </r>
  </si>
  <si>
    <r>
      <rPr>
        <sz val="10"/>
        <rFont val="Arial"/>
        <family val="34"/>
      </rPr>
      <t>$  8.58</t>
    </r>
  </si>
  <si>
    <r>
      <rPr>
        <sz val="10"/>
        <rFont val="Arial"/>
        <family val="34"/>
      </rPr>
      <t>N</t>
    </r>
  </si>
  <si>
    <r>
      <rPr>
        <sz val="10"/>
        <rFont val="Arial"/>
        <family val="34"/>
      </rPr>
      <t>N-80</t>
    </r>
  </si>
  <si>
    <r>
      <rPr>
        <sz val="10"/>
        <rFont val="Arial"/>
        <family val="34"/>
      </rPr>
      <t>$  8.44</t>
    </r>
  </si>
  <si>
    <r>
      <rPr>
        <sz val="10"/>
        <rFont val="Arial"/>
        <family val="34"/>
      </rPr>
      <t>$  9.04</t>
    </r>
  </si>
  <si>
    <r>
      <rPr>
        <sz val="10"/>
        <rFont val="Arial"/>
        <family val="34"/>
      </rPr>
      <t>$  9.82</t>
    </r>
  </si>
  <si>
    <r>
      <rPr>
        <sz val="10"/>
        <rFont val="Arial"/>
        <family val="34"/>
      </rPr>
      <t>C</t>
    </r>
  </si>
  <si>
    <r>
      <rPr>
        <sz val="10"/>
        <rFont val="Arial"/>
        <family val="34"/>
      </rPr>
      <t>C-95</t>
    </r>
  </si>
  <si>
    <r>
      <rPr>
        <sz val="10"/>
        <rFont val="Arial"/>
        <family val="34"/>
      </rPr>
      <t>$ 10.02</t>
    </r>
  </si>
  <si>
    <r>
      <rPr>
        <sz val="10"/>
        <rFont val="Arial"/>
        <family val="34"/>
      </rPr>
      <t>$ 10.42</t>
    </r>
  </si>
  <si>
    <r>
      <rPr>
        <sz val="10"/>
        <rFont val="Arial"/>
        <family val="34"/>
      </rPr>
      <t>$ 10.62</t>
    </r>
  </si>
  <si>
    <r>
      <rPr>
        <sz val="10"/>
        <rFont val="Arial"/>
        <family val="34"/>
      </rPr>
      <t>P</t>
    </r>
  </si>
  <si>
    <r>
      <rPr>
        <sz val="10"/>
        <rFont val="Arial"/>
        <family val="34"/>
      </rPr>
      <t>P-110</t>
    </r>
  </si>
  <si>
    <r>
      <rPr>
        <sz val="10"/>
        <rFont val="Arial"/>
        <family val="34"/>
      </rPr>
      <t>$ 11.60</t>
    </r>
  </si>
  <si>
    <r>
      <rPr>
        <sz val="10"/>
        <rFont val="Arial"/>
        <family val="34"/>
      </rPr>
      <t>$ 11.66</t>
    </r>
  </si>
  <si>
    <r>
      <rPr>
        <sz val="10"/>
        <rFont val="Arial"/>
        <family val="34"/>
      </rPr>
      <t>$ 12.20</t>
    </r>
  </si>
  <si>
    <r>
      <rPr>
        <sz val="10"/>
        <rFont val="Arial"/>
        <family val="34"/>
      </rPr>
      <t>$ 12.26</t>
    </r>
  </si>
  <si>
    <r>
      <rPr>
        <sz val="10"/>
        <rFont val="Arial"/>
        <family val="34"/>
      </rPr>
      <t>$ 13.50</t>
    </r>
  </si>
  <si>
    <r>
      <rPr>
        <sz val="10"/>
        <rFont val="Arial"/>
        <family val="34"/>
      </rPr>
      <t>$ 14.10</t>
    </r>
  </si>
  <si>
    <r>
      <rPr>
        <sz val="10"/>
        <rFont val="Arial"/>
        <family val="34"/>
      </rPr>
      <t>$ 15.10</t>
    </r>
  </si>
  <si>
    <r>
      <rPr>
        <sz val="10"/>
        <rFont val="Arial"/>
        <family val="34"/>
      </rPr>
      <t>$ 15.70</t>
    </r>
  </si>
  <si>
    <r>
      <rPr>
        <sz val="10"/>
        <rFont val="Arial"/>
        <family val="34"/>
      </rPr>
      <t>Q</t>
    </r>
  </si>
  <si>
    <r>
      <rPr>
        <sz val="10"/>
        <rFont val="Arial"/>
        <family val="34"/>
      </rPr>
      <t>Q-125</t>
    </r>
  </si>
  <si>
    <r>
      <rPr>
        <sz val="10"/>
        <rFont val="Arial"/>
        <family val="34"/>
      </rPr>
      <t>$ 17.16</t>
    </r>
  </si>
  <si>
    <r>
      <rPr>
        <sz val="10"/>
        <rFont val="Arial"/>
        <family val="34"/>
      </rPr>
      <t>$ 17.76</t>
    </r>
  </si>
  <si>
    <t>Grade</t>
  </si>
  <si>
    <t>t</t>
  </si>
  <si>
    <t>ratio</t>
  </si>
  <si>
    <t>Acs</t>
  </si>
  <si>
    <t>Production Casings</t>
  </si>
  <si>
    <r>
      <rPr>
        <sz val="9"/>
        <rFont val="Arial"/>
        <family val="34"/>
      </rPr>
      <t>K</t>
    </r>
  </si>
  <si>
    <r>
      <rPr>
        <sz val="9"/>
        <rFont val="Arial"/>
        <family val="34"/>
      </rPr>
      <t>M</t>
    </r>
  </si>
  <si>
    <r>
      <rPr>
        <sz val="9"/>
        <rFont val="Arial"/>
        <family val="34"/>
      </rPr>
      <t>N</t>
    </r>
  </si>
  <si>
    <r>
      <rPr>
        <sz val="9"/>
        <rFont val="Arial"/>
        <family val="34"/>
      </rPr>
      <t>C</t>
    </r>
  </si>
  <si>
    <r>
      <rPr>
        <sz val="9"/>
        <rFont val="Arial"/>
        <family val="34"/>
      </rPr>
      <t>P</t>
    </r>
  </si>
  <si>
    <r>
      <rPr>
        <sz val="9"/>
        <rFont val="Arial"/>
        <family val="34"/>
      </rPr>
      <t>STC</t>
    </r>
  </si>
  <si>
    <r>
      <rPr>
        <sz val="9"/>
        <rFont val="Arial"/>
        <family val="34"/>
      </rPr>
      <t>LTC</t>
    </r>
  </si>
  <si>
    <r>
      <rPr>
        <sz val="9"/>
        <rFont val="Arial"/>
        <family val="34"/>
      </rPr>
      <t>BTC</t>
    </r>
  </si>
  <si>
    <r>
      <rPr>
        <sz val="9"/>
        <rFont val="Arial"/>
        <family val="34"/>
      </rPr>
      <t>Clps</t>
    </r>
  </si>
  <si>
    <r>
      <rPr>
        <sz val="9"/>
        <rFont val="Arial"/>
        <family val="34"/>
      </rPr>
      <t>Burst</t>
    </r>
  </si>
  <si>
    <r>
      <rPr>
        <sz val="9"/>
        <rFont val="Arial"/>
        <family val="34"/>
      </rPr>
      <t>Pipe Body</t>
    </r>
  </si>
  <si>
    <r>
      <rPr>
        <sz val="9"/>
        <rFont val="Arial"/>
        <family val="34"/>
      </rPr>
      <t xml:space="preserve">Joint
</t>
    </r>
    <r>
      <rPr>
        <sz val="9"/>
        <rFont val="Arial"/>
        <family val="34"/>
      </rPr>
      <t>Strength</t>
    </r>
  </si>
  <si>
    <r>
      <rPr>
        <sz val="9"/>
        <rFont val="Arial"/>
        <family val="34"/>
      </rPr>
      <t>Grade</t>
    </r>
  </si>
  <si>
    <r>
      <rPr>
        <sz val="9"/>
        <rFont val="Arial"/>
        <family val="34"/>
      </rPr>
      <t>K-55</t>
    </r>
  </si>
  <si>
    <r>
      <rPr>
        <sz val="9"/>
        <rFont val="Arial"/>
        <family val="34"/>
      </rPr>
      <t>M-65</t>
    </r>
  </si>
  <si>
    <r>
      <rPr>
        <sz val="9"/>
        <rFont val="Arial"/>
        <family val="34"/>
      </rPr>
      <t>N-80</t>
    </r>
  </si>
  <si>
    <r>
      <rPr>
        <sz val="9"/>
        <rFont val="Arial"/>
        <family val="34"/>
      </rPr>
      <t>C-95</t>
    </r>
  </si>
  <si>
    <r>
      <rPr>
        <sz val="9"/>
        <rFont val="Arial"/>
        <family val="34"/>
      </rPr>
      <t>P-110</t>
    </r>
  </si>
  <si>
    <r>
      <rPr>
        <sz val="9"/>
        <rFont val="Arial"/>
        <family val="34"/>
      </rPr>
      <t>$    17.90</t>
    </r>
  </si>
  <si>
    <r>
      <rPr>
        <sz val="9"/>
        <rFont val="Arial"/>
        <family val="34"/>
      </rPr>
      <t>$    18.00</t>
    </r>
  </si>
  <si>
    <r>
      <rPr>
        <sz val="9"/>
        <rFont val="Arial"/>
        <family val="34"/>
      </rPr>
      <t>$    18.60</t>
    </r>
  </si>
  <si>
    <r>
      <rPr>
        <sz val="9"/>
        <rFont val="Arial"/>
        <family val="34"/>
      </rPr>
      <t>$    19.90</t>
    </r>
  </si>
  <si>
    <r>
      <rPr>
        <sz val="9"/>
        <rFont val="Arial"/>
        <family val="34"/>
      </rPr>
      <t>$    20.00</t>
    </r>
  </si>
  <si>
    <r>
      <rPr>
        <sz val="9"/>
        <rFont val="Arial"/>
        <family val="34"/>
      </rPr>
      <t>$    20.60</t>
    </r>
  </si>
  <si>
    <r>
      <rPr>
        <sz val="9"/>
        <rFont val="Arial"/>
        <family val="34"/>
      </rPr>
      <t>$    21.17</t>
    </r>
  </si>
  <si>
    <r>
      <rPr>
        <sz val="9"/>
        <rFont val="Arial"/>
        <family val="34"/>
      </rPr>
      <t>$    21.27</t>
    </r>
  </si>
  <si>
    <r>
      <rPr>
        <sz val="9"/>
        <rFont val="Arial"/>
        <family val="34"/>
      </rPr>
      <t>$    21.87</t>
    </r>
  </si>
  <si>
    <r>
      <rPr>
        <sz val="9"/>
        <rFont val="Arial"/>
        <family val="34"/>
      </rPr>
      <t>$    23.54</t>
    </r>
  </si>
  <si>
    <r>
      <rPr>
        <sz val="9"/>
        <rFont val="Arial"/>
        <family val="34"/>
      </rPr>
      <t>$    23.64</t>
    </r>
  </si>
  <si>
    <r>
      <rPr>
        <sz val="9"/>
        <rFont val="Arial"/>
        <family val="34"/>
      </rPr>
      <t>$    24.24</t>
    </r>
  </si>
  <si>
    <r>
      <rPr>
        <sz val="9"/>
        <rFont val="Arial"/>
        <family val="34"/>
      </rPr>
      <t>$    25.70</t>
    </r>
  </si>
  <si>
    <r>
      <rPr>
        <sz val="9"/>
        <rFont val="Arial"/>
        <family val="34"/>
      </rPr>
      <t>$    26.30</t>
    </r>
  </si>
  <si>
    <r>
      <rPr>
        <sz val="9"/>
        <rFont val="Arial"/>
        <family val="34"/>
      </rPr>
      <t>$    29.09</t>
    </r>
  </si>
  <si>
    <r>
      <rPr>
        <sz val="9"/>
        <rFont val="Arial"/>
        <family val="34"/>
      </rPr>
      <t>$    29.69</t>
    </r>
  </si>
  <si>
    <r>
      <rPr>
        <sz val="9"/>
        <rFont val="Arial"/>
        <family val="34"/>
      </rPr>
      <t>$    31.64</t>
    </r>
  </si>
  <si>
    <r>
      <rPr>
        <sz val="9"/>
        <rFont val="Arial"/>
        <family val="34"/>
      </rPr>
      <t>$    32.24</t>
    </r>
  </si>
  <si>
    <r>
      <rPr>
        <sz val="9"/>
        <rFont val="Arial"/>
        <family val="34"/>
      </rPr>
      <t>$    34.18</t>
    </r>
  </si>
  <si>
    <r>
      <rPr>
        <sz val="9"/>
        <rFont val="Arial"/>
        <family val="34"/>
      </rPr>
      <t>$    34.78</t>
    </r>
  </si>
  <si>
    <r>
      <rPr>
        <sz val="9"/>
        <rFont val="Arial"/>
        <family val="34"/>
      </rPr>
      <t>$    37.57</t>
    </r>
  </si>
  <si>
    <r>
      <rPr>
        <sz val="9"/>
        <rFont val="Arial"/>
        <family val="34"/>
      </rPr>
      <t>$    38.17</t>
    </r>
  </si>
  <si>
    <r>
      <rPr>
        <sz val="9"/>
        <rFont val="Arial"/>
        <family val="34"/>
      </rPr>
      <t>$    38.91</t>
    </r>
  </si>
  <si>
    <r>
      <rPr>
        <sz val="9"/>
        <rFont val="Arial"/>
        <family val="34"/>
      </rPr>
      <t>$    39.51</t>
    </r>
  </si>
  <si>
    <r>
      <rPr>
        <sz val="9"/>
        <rFont val="Arial"/>
        <family val="34"/>
      </rPr>
      <t>$    40.59</t>
    </r>
  </si>
  <si>
    <r>
      <rPr>
        <sz val="9"/>
        <rFont val="Arial"/>
        <family val="34"/>
      </rPr>
      <t>$    41.19</t>
    </r>
  </si>
  <si>
    <r>
      <rPr>
        <sz val="9"/>
        <rFont val="Arial"/>
        <family val="34"/>
      </rPr>
      <t>$    43.50</t>
    </r>
  </si>
  <si>
    <r>
      <rPr>
        <sz val="9"/>
        <rFont val="Arial"/>
        <family val="34"/>
      </rPr>
      <t>$    44.10</t>
    </r>
  </si>
  <si>
    <r>
      <rPr>
        <sz val="9"/>
        <rFont val="Arial"/>
        <family val="34"/>
      </rPr>
      <t>$    46.20</t>
    </r>
  </si>
  <si>
    <r>
      <rPr>
        <sz val="9"/>
        <rFont val="Arial"/>
        <family val="34"/>
      </rPr>
      <t>$    46.80</t>
    </r>
  </si>
  <si>
    <r>
      <rPr>
        <sz val="9"/>
        <rFont val="Arial"/>
        <family val="34"/>
      </rPr>
      <t>$    47.00</t>
    </r>
  </si>
  <si>
    <r>
      <rPr>
        <sz val="9"/>
        <rFont val="Arial"/>
        <family val="34"/>
      </rPr>
      <t>$    47.60</t>
    </r>
  </si>
  <si>
    <r>
      <rPr>
        <sz val="9"/>
        <rFont val="Arial"/>
        <family val="34"/>
      </rPr>
      <t>$    53.50</t>
    </r>
  </si>
  <si>
    <r>
      <rPr>
        <sz val="9"/>
        <rFont val="Arial"/>
        <family val="34"/>
      </rPr>
      <t>$    54.10</t>
    </r>
  </si>
  <si>
    <r>
      <rPr>
        <sz val="9"/>
        <rFont val="Arial"/>
        <family val="34"/>
      </rPr>
      <t>Drift</t>
    </r>
  </si>
  <si>
    <t>#</t>
  </si>
  <si>
    <t>WPF</t>
  </si>
  <si>
    <t>Conn.</t>
  </si>
  <si>
    <t>Surface Casings</t>
  </si>
  <si>
    <t>CPF</t>
  </si>
  <si>
    <r>
      <rPr>
        <b/>
        <sz val="10"/>
        <rFont val="Arial"/>
        <family val="34"/>
      </rPr>
      <t>Pipe
Type</t>
    </r>
  </si>
  <si>
    <r>
      <rPr>
        <b/>
        <sz val="10"/>
        <rFont val="Arial"/>
        <family val="34"/>
      </rPr>
      <t>OD</t>
    </r>
  </si>
  <si>
    <r>
      <rPr>
        <b/>
        <sz val="10"/>
        <rFont val="Arial"/>
        <family val="34"/>
      </rPr>
      <t>Weight</t>
    </r>
  </si>
  <si>
    <r>
      <rPr>
        <b/>
        <sz val="10"/>
        <rFont val="Arial"/>
        <family val="34"/>
      </rPr>
      <t>Grade</t>
    </r>
  </si>
  <si>
    <r>
      <rPr>
        <b/>
        <sz val="10"/>
        <rFont val="Arial"/>
        <family val="34"/>
      </rPr>
      <t>Conn</t>
    </r>
  </si>
  <si>
    <r>
      <rPr>
        <b/>
        <sz val="10"/>
        <rFont val="Arial"/>
        <family val="34"/>
      </rPr>
      <t>ID</t>
    </r>
  </si>
  <si>
    <r>
      <rPr>
        <b/>
        <sz val="10"/>
        <rFont val="Arial"/>
        <family val="34"/>
      </rPr>
      <t>t</t>
    </r>
  </si>
  <si>
    <r>
      <rPr>
        <b/>
        <sz val="10"/>
        <rFont val="Arial"/>
        <family val="34"/>
      </rPr>
      <t>ratio</t>
    </r>
  </si>
  <si>
    <r>
      <rPr>
        <b/>
        <sz val="10"/>
        <rFont val="Arial"/>
        <family val="34"/>
      </rPr>
      <t>Acs</t>
    </r>
  </si>
  <si>
    <r>
      <rPr>
        <b/>
        <sz val="10"/>
        <rFont val="Arial"/>
        <family val="34"/>
      </rPr>
      <t>Clps</t>
    </r>
  </si>
  <si>
    <r>
      <rPr>
        <b/>
        <sz val="10"/>
        <rFont val="Arial"/>
        <family val="34"/>
      </rPr>
      <t>Burst</t>
    </r>
  </si>
  <si>
    <r>
      <rPr>
        <b/>
        <sz val="10"/>
        <rFont val="Arial"/>
        <family val="34"/>
      </rPr>
      <t>Pipe Body</t>
    </r>
  </si>
  <si>
    <r>
      <rPr>
        <b/>
        <sz val="10"/>
        <rFont val="Arial"/>
        <family val="34"/>
      </rPr>
      <t>Joint
Strength</t>
    </r>
  </si>
  <si>
    <r>
      <rPr>
        <b/>
        <sz val="10"/>
        <rFont val="Arial"/>
        <family val="34"/>
      </rPr>
      <t>$/ft</t>
    </r>
  </si>
  <si>
    <r>
      <rPr>
        <b/>
        <sz val="10"/>
        <rFont val="Arial"/>
        <family val="34"/>
      </rPr>
      <t>Drift</t>
    </r>
  </si>
  <si>
    <t>Design Inputs</t>
  </si>
  <si>
    <t>OD (in)</t>
  </si>
  <si>
    <t>TVD (ft)</t>
  </si>
  <si>
    <t xml:space="preserve"> </t>
  </si>
  <si>
    <t>Fluid</t>
  </si>
  <si>
    <t>Outside Casing</t>
  </si>
  <si>
    <t>Inside Casing</t>
  </si>
  <si>
    <t>MW (ppg)</t>
  </si>
  <si>
    <t>Safety Factors</t>
  </si>
  <si>
    <t>Design Tests</t>
  </si>
  <si>
    <t>Scenario Manager</t>
  </si>
  <si>
    <t>MOP:</t>
  </si>
  <si>
    <t>(lbf)</t>
  </si>
  <si>
    <t>Design Options</t>
  </si>
  <si>
    <t>Tests</t>
  </si>
  <si>
    <t>Apply Test</t>
  </si>
  <si>
    <t>Test Name:</t>
  </si>
  <si>
    <t>(psi)</t>
  </si>
  <si>
    <t>Casing Designer</t>
  </si>
  <si>
    <t>Min. Types</t>
  </si>
  <si>
    <t>Max Types</t>
  </si>
  <si>
    <t>Bit Size (in)</t>
  </si>
  <si>
    <t>Design Test Conditions</t>
  </si>
  <si>
    <t># Fluids:</t>
  </si>
  <si>
    <t>Pcs:</t>
  </si>
  <si>
    <t>Total Cost:</t>
  </si>
  <si>
    <t>Sections:</t>
  </si>
  <si>
    <t>Section</t>
  </si>
  <si>
    <t>Connection</t>
  </si>
  <si>
    <t>Cost ($)</t>
  </si>
  <si>
    <t>Section Overview</t>
  </si>
  <si>
    <t>Sum</t>
  </si>
  <si>
    <t>-</t>
  </si>
  <si>
    <t>Perf. Height (ft)</t>
  </si>
  <si>
    <t>Perf. Depth (ft)</t>
  </si>
  <si>
    <t>Inventory Min</t>
  </si>
  <si>
    <t>Inventory Max</t>
  </si>
  <si>
    <t>*Evacuated space should still have MW = 0</t>
  </si>
  <si>
    <t>Burst</t>
  </si>
  <si>
    <t>Collapse</t>
  </si>
  <si>
    <t>BTC</t>
  </si>
  <si>
    <t>Casing Manager</t>
  </si>
  <si>
    <t>Project 4 Tests</t>
  </si>
  <si>
    <t>Production Design</t>
  </si>
  <si>
    <t>*With Gas Inside Fluid Depth should be the start of the kick</t>
  </si>
  <si>
    <t>*Furthest depth must be TVD (except when gas is used)</t>
  </si>
  <si>
    <t>Create Casing</t>
  </si>
  <si>
    <t>WPF (lbf/ft)</t>
  </si>
  <si>
    <t>Depth (Ft)</t>
  </si>
  <si>
    <t>Height (Ft)</t>
  </si>
  <si>
    <t>Intermediate Casing</t>
  </si>
  <si>
    <r>
      <rPr>
        <sz val="8"/>
        <rFont val="Arial"/>
        <family val="34"/>
      </rPr>
      <t xml:space="preserve">Pipe
</t>
    </r>
    <r>
      <rPr>
        <sz val="8"/>
        <rFont val="Arial"/>
        <family val="34"/>
      </rPr>
      <t>Type</t>
    </r>
  </si>
  <si>
    <r>
      <rPr>
        <sz val="8"/>
        <rFont val="Arial"/>
        <family val="34"/>
      </rPr>
      <t>Weight</t>
    </r>
  </si>
  <si>
    <r>
      <rPr>
        <sz val="8"/>
        <rFont val="Arial"/>
        <family val="34"/>
      </rPr>
      <t>Grade</t>
    </r>
  </si>
  <si>
    <r>
      <rPr>
        <sz val="8"/>
        <rFont val="Arial"/>
        <family val="34"/>
      </rPr>
      <t>Conn</t>
    </r>
  </si>
  <si>
    <r>
      <rPr>
        <sz val="8"/>
        <rFont val="Arial"/>
        <family val="34"/>
      </rPr>
      <t>ID</t>
    </r>
  </si>
  <si>
    <r>
      <rPr>
        <sz val="8"/>
        <rFont val="Arial"/>
        <family val="34"/>
      </rPr>
      <t>t</t>
    </r>
  </si>
  <si>
    <r>
      <rPr>
        <sz val="8"/>
        <rFont val="Arial"/>
        <family val="34"/>
      </rPr>
      <t>ratio</t>
    </r>
  </si>
  <si>
    <r>
      <rPr>
        <sz val="8"/>
        <rFont val="Arial"/>
        <family val="34"/>
      </rPr>
      <t>Acs</t>
    </r>
  </si>
  <si>
    <r>
      <rPr>
        <sz val="8"/>
        <rFont val="Arial"/>
        <family val="34"/>
      </rPr>
      <t>Clps</t>
    </r>
  </si>
  <si>
    <r>
      <rPr>
        <sz val="8"/>
        <rFont val="Arial"/>
        <family val="34"/>
      </rPr>
      <t>Burst</t>
    </r>
  </si>
  <si>
    <r>
      <rPr>
        <sz val="8"/>
        <rFont val="Arial"/>
        <family val="34"/>
      </rPr>
      <t>Pipe Body</t>
    </r>
  </si>
  <si>
    <r>
      <rPr>
        <sz val="8"/>
        <rFont val="Arial"/>
        <family val="34"/>
      </rPr>
      <t xml:space="preserve">Joint
</t>
    </r>
    <r>
      <rPr>
        <sz val="8"/>
        <rFont val="Arial"/>
        <family val="34"/>
      </rPr>
      <t>Strength</t>
    </r>
  </si>
  <si>
    <r>
      <rPr>
        <sz val="8"/>
        <rFont val="Arial"/>
        <family val="34"/>
      </rPr>
      <t>$/ft</t>
    </r>
  </si>
  <si>
    <r>
      <rPr>
        <sz val="8"/>
        <rFont val="Arial"/>
        <family val="34"/>
      </rPr>
      <t>Drift</t>
    </r>
  </si>
  <si>
    <r>
      <rPr>
        <sz val="8"/>
        <rFont val="Arial"/>
        <family val="34"/>
      </rPr>
      <t>K</t>
    </r>
  </si>
  <si>
    <r>
      <rPr>
        <sz val="8"/>
        <rFont val="Arial"/>
        <family val="34"/>
      </rPr>
      <t>LTC</t>
    </r>
  </si>
  <si>
    <r>
      <rPr>
        <sz val="8"/>
        <rFont val="Arial"/>
        <family val="34"/>
      </rPr>
      <t>K-55</t>
    </r>
  </si>
  <si>
    <r>
      <rPr>
        <sz val="8"/>
        <rFont val="Arial"/>
        <family val="34"/>
      </rPr>
      <t>$      13.20</t>
    </r>
  </si>
  <si>
    <r>
      <rPr>
        <sz val="8"/>
        <rFont val="Arial"/>
        <family val="34"/>
      </rPr>
      <t>BTC</t>
    </r>
  </si>
  <si>
    <r>
      <rPr>
        <sz val="8"/>
        <rFont val="Arial"/>
        <family val="34"/>
      </rPr>
      <t>$      13.80</t>
    </r>
  </si>
  <si>
    <r>
      <rPr>
        <sz val="8"/>
        <rFont val="Arial"/>
        <family val="34"/>
      </rPr>
      <t>M</t>
    </r>
  </si>
  <si>
    <r>
      <rPr>
        <sz val="8"/>
        <rFont val="Arial"/>
        <family val="34"/>
      </rPr>
      <t>M-65</t>
    </r>
  </si>
  <si>
    <r>
      <rPr>
        <sz val="8"/>
        <rFont val="Arial"/>
        <family val="34"/>
      </rPr>
      <t>$      15.60</t>
    </r>
  </si>
  <si>
    <r>
      <rPr>
        <sz val="8"/>
        <rFont val="Arial"/>
        <family val="34"/>
      </rPr>
      <t>$      16.20</t>
    </r>
  </si>
  <si>
    <r>
      <rPr>
        <sz val="8"/>
        <rFont val="Arial"/>
        <family val="34"/>
      </rPr>
      <t>$      17.55</t>
    </r>
  </si>
  <si>
    <r>
      <rPr>
        <sz val="8"/>
        <rFont val="Arial"/>
        <family val="34"/>
      </rPr>
      <t>$      18.15</t>
    </r>
  </si>
  <si>
    <r>
      <rPr>
        <sz val="8"/>
        <rFont val="Arial"/>
        <family val="34"/>
      </rPr>
      <t>N</t>
    </r>
  </si>
  <si>
    <r>
      <rPr>
        <sz val="8"/>
        <rFont val="Arial"/>
        <family val="34"/>
      </rPr>
      <t>N-80</t>
    </r>
  </si>
  <si>
    <r>
      <rPr>
        <sz val="8"/>
        <rFont val="Arial"/>
        <family val="34"/>
      </rPr>
      <t>$      19.20</t>
    </r>
  </si>
  <si>
    <r>
      <rPr>
        <sz val="8"/>
        <rFont val="Arial"/>
        <family val="34"/>
      </rPr>
      <t>$      19.80</t>
    </r>
  </si>
  <si>
    <r>
      <rPr>
        <sz val="8"/>
        <rFont val="Arial"/>
        <family val="34"/>
      </rPr>
      <t>$      21.60</t>
    </r>
  </si>
  <si>
    <r>
      <rPr>
        <sz val="8"/>
        <rFont val="Arial"/>
        <family val="34"/>
      </rPr>
      <t>$      22.20</t>
    </r>
  </si>
  <si>
    <r>
      <rPr>
        <sz val="8"/>
        <rFont val="Arial"/>
        <family val="34"/>
      </rPr>
      <t>C</t>
    </r>
  </si>
  <si>
    <r>
      <rPr>
        <sz val="8"/>
        <rFont val="Arial"/>
        <family val="34"/>
      </rPr>
      <t>C-95</t>
    </r>
  </si>
  <si>
    <r>
      <rPr>
        <sz val="8"/>
        <rFont val="Arial"/>
        <family val="34"/>
      </rPr>
      <t>$      22.80</t>
    </r>
  </si>
  <si>
    <r>
      <rPr>
        <sz val="8"/>
        <rFont val="Arial"/>
        <family val="34"/>
      </rPr>
      <t>$      23.40</t>
    </r>
  </si>
  <si>
    <r>
      <rPr>
        <sz val="8"/>
        <rFont val="Arial"/>
        <family val="34"/>
      </rPr>
      <t>$      24.51</t>
    </r>
  </si>
  <si>
    <r>
      <rPr>
        <sz val="8"/>
        <rFont val="Arial"/>
        <family val="34"/>
      </rPr>
      <t>$      25.11</t>
    </r>
  </si>
  <si>
    <r>
      <rPr>
        <sz val="8"/>
        <rFont val="Arial"/>
        <family val="34"/>
      </rPr>
      <t>$      25.65</t>
    </r>
  </si>
  <si>
    <r>
      <rPr>
        <sz val="8"/>
        <rFont val="Arial"/>
        <family val="34"/>
      </rPr>
      <t>$      26.25</t>
    </r>
  </si>
  <si>
    <r>
      <rPr>
        <sz val="8"/>
        <rFont val="Arial"/>
        <family val="34"/>
      </rPr>
      <t>$      28.36</t>
    </r>
  </si>
  <si>
    <r>
      <rPr>
        <sz val="8"/>
        <rFont val="Arial"/>
        <family val="34"/>
      </rPr>
      <t>$      28.96</t>
    </r>
  </si>
  <si>
    <r>
      <rPr>
        <sz val="8"/>
        <rFont val="Arial"/>
        <family val="34"/>
      </rPr>
      <t>$      29.10</t>
    </r>
  </si>
  <si>
    <r>
      <rPr>
        <sz val="8"/>
        <rFont val="Arial"/>
        <family val="34"/>
      </rPr>
      <t>$      29.70</t>
    </r>
  </si>
  <si>
    <r>
      <rPr>
        <sz val="8"/>
        <rFont val="Arial"/>
        <family val="34"/>
      </rPr>
      <t>P</t>
    </r>
  </si>
  <si>
    <r>
      <rPr>
        <sz val="8"/>
        <rFont val="Arial"/>
        <family val="34"/>
      </rPr>
      <t>P-110</t>
    </r>
  </si>
  <si>
    <r>
      <rPr>
        <sz val="8"/>
        <rFont val="Arial"/>
        <family val="34"/>
      </rPr>
      <t>$      30.30</t>
    </r>
  </si>
  <si>
    <r>
      <rPr>
        <sz val="8"/>
        <rFont val="Arial"/>
        <family val="34"/>
      </rPr>
      <t>$      31.13</t>
    </r>
  </si>
  <si>
    <r>
      <rPr>
        <sz val="8"/>
        <rFont val="Arial"/>
        <family val="34"/>
      </rPr>
      <t>$      31.73</t>
    </r>
  </si>
  <si>
    <r>
      <rPr>
        <sz val="8"/>
        <rFont val="Arial"/>
        <family val="34"/>
      </rPr>
      <t>$      32.95</t>
    </r>
  </si>
  <si>
    <r>
      <rPr>
        <sz val="8"/>
        <rFont val="Arial"/>
        <family val="34"/>
      </rPr>
      <t>$      33.55</t>
    </r>
  </si>
  <si>
    <r>
      <rPr>
        <sz val="8"/>
        <rFont val="Arial"/>
        <family val="34"/>
      </rPr>
      <t>$      33.68</t>
    </r>
  </si>
  <si>
    <r>
      <rPr>
        <sz val="8"/>
        <rFont val="Arial"/>
        <family val="34"/>
      </rPr>
      <t>$      33.70</t>
    </r>
  </si>
  <si>
    <r>
      <rPr>
        <sz val="8"/>
        <rFont val="Arial"/>
        <family val="34"/>
      </rPr>
      <t>$      34.28</t>
    </r>
  </si>
  <si>
    <r>
      <rPr>
        <sz val="8"/>
        <rFont val="Arial"/>
        <family val="34"/>
      </rPr>
      <t>$      34.30</t>
    </r>
  </si>
  <si>
    <r>
      <rPr>
        <sz val="8"/>
        <rFont val="Arial"/>
        <family val="34"/>
      </rPr>
      <t>$      36.96</t>
    </r>
  </si>
  <si>
    <r>
      <rPr>
        <sz val="8"/>
        <rFont val="Arial"/>
        <family val="34"/>
      </rPr>
      <t>$      37.56</t>
    </r>
  </si>
  <si>
    <r>
      <rPr>
        <sz val="8"/>
        <rFont val="Arial"/>
        <family val="34"/>
      </rPr>
      <t>$      39.00</t>
    </r>
  </si>
  <si>
    <r>
      <rPr>
        <sz val="8"/>
        <rFont val="Arial"/>
        <family val="34"/>
      </rPr>
      <t>$      39.12</t>
    </r>
  </si>
  <si>
    <r>
      <rPr>
        <sz val="8"/>
        <rFont val="Arial"/>
        <family val="34"/>
      </rPr>
      <t>$      39.60</t>
    </r>
  </si>
  <si>
    <r>
      <rPr>
        <sz val="8"/>
        <rFont val="Arial"/>
        <family val="34"/>
      </rPr>
      <t>$      39.72</t>
    </r>
  </si>
  <si>
    <r>
      <rPr>
        <sz val="8"/>
        <rFont val="Arial"/>
        <family val="34"/>
      </rPr>
      <t>$      42.80</t>
    </r>
  </si>
  <si>
    <r>
      <rPr>
        <sz val="8"/>
        <rFont val="Arial"/>
        <family val="34"/>
      </rPr>
      <t>$      43.40</t>
    </r>
  </si>
  <si>
    <r>
      <rPr>
        <sz val="8"/>
        <rFont val="Arial"/>
        <family val="34"/>
      </rPr>
      <t>$      45.30</t>
    </r>
  </si>
  <si>
    <r>
      <rPr>
        <sz val="8"/>
        <rFont val="Arial"/>
        <family val="34"/>
      </rPr>
      <t>$      45.90</t>
    </r>
  </si>
  <si>
    <t>N-80</t>
  </si>
  <si>
    <t>Busrt</t>
  </si>
  <si>
    <t>Joint Tensile</t>
  </si>
  <si>
    <t>Pipe Tensile</t>
  </si>
  <si>
    <t>M-65</t>
  </si>
  <si>
    <t>Surface Casing</t>
  </si>
  <si>
    <t>Production Casing</t>
  </si>
  <si>
    <t>P-110</t>
  </si>
  <si>
    <t>B - Leaky Tubing</t>
  </si>
  <si>
    <t>Packer Height</t>
  </si>
  <si>
    <t>Custom Casing</t>
  </si>
  <si>
    <t>Inventory #</t>
  </si>
  <si>
    <t>Total Price:</t>
  </si>
  <si>
    <t>PEGN 361</t>
  </si>
  <si>
    <t>Completion Engineering</t>
  </si>
  <si>
    <t>Project 4</t>
  </si>
  <si>
    <t>Robert Darby</t>
  </si>
  <si>
    <t>Jordan Medina</t>
  </si>
  <si>
    <t>Daniel Zarrini</t>
  </si>
  <si>
    <t>Pipe Tens. Strength</t>
  </si>
  <si>
    <t>Burst Strength</t>
  </si>
  <si>
    <t>Biaxial Collapse</t>
  </si>
  <si>
    <t>Joint Tens. Strength</t>
  </si>
  <si>
    <t>Test 3</t>
  </si>
  <si>
    <t>Test 2</t>
  </si>
  <si>
    <t>Test 5</t>
  </si>
  <si>
    <t>Test 4</t>
  </si>
  <si>
    <t>Test 1</t>
  </si>
  <si>
    <t>Test 0</t>
  </si>
  <si>
    <t>Surface</t>
  </si>
  <si>
    <t>Intermediate</t>
  </si>
  <si>
    <t>Production</t>
  </si>
  <si>
    <t>Inv</t>
  </si>
  <si>
    <t>Depth</t>
  </si>
  <si>
    <t>Pressure Testing</t>
  </si>
  <si>
    <t>Running Mud Weight</t>
  </si>
  <si>
    <t>Pressure Testing Burst</t>
  </si>
  <si>
    <t>Gas Kick Burst Test</t>
  </si>
  <si>
    <t>Cement Job Collapse</t>
  </si>
  <si>
    <t xml:space="preserve">Evacuated Casing Collapse
</t>
  </si>
  <si>
    <t>Running Mud</t>
  </si>
  <si>
    <t>Burst Pressure Test</t>
  </si>
  <si>
    <t>Gas Kick Burst</t>
  </si>
  <si>
    <t>Cement Collapse</t>
  </si>
  <si>
    <t>Evacuated Collapse</t>
  </si>
  <si>
    <t>Leaky Tubing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</si>
</sst>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###0;###0"/>
    <numFmt numFmtId="165" formatCode="###0.000;###0.000"/>
    <numFmt numFmtId="166" formatCode="###0.0;###0.0"/>
    <numFmt numFmtId="167" formatCode="_(&quot;$&quot;* #,##0_);_(&quot;$&quot;* \(#,##0\);_(&quot;$&quot;* &quot;-&quot;??_);_(@_)"/>
  </numFmts>
  <fonts count="2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0"/>
      <name val="Arial"/>
      <family val="34"/>
    </font>
    <font>
      <sz val="9"/>
      <name val="Arial"/>
      <family val="34"/>
    </font>
    <font>
      <b/>
      <sz val="10"/>
      <name val="Arial"/>
      <family val="34"/>
    </font>
    <font>
      <b/>
      <sz val="10"/>
      <color rgb="FF000000"/>
      <name val="Times New Roman"/>
      <family val="1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8"/>
      <name val="Arial"/>
      <family val="34"/>
    </font>
    <font>
      <sz val="8"/>
      <color rgb="FF000000"/>
      <name val="Arial"/>
      <family val="2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</patternFill>
    </fill>
    <fill>
      <patternFill patternType="solid">
        <fgColor rgb="FFFFFF00"/>
      </patternFill>
    </fill>
    <fill>
      <patternFill patternType="solid">
        <fgColor rgb="FFCCFFCC"/>
      </patternFill>
    </fill>
    <fill>
      <patternFill patternType="solid">
        <fgColor rgb="FFCCFFFF"/>
      </patternFill>
    </fill>
    <fill>
      <patternFill patternType="solid">
        <fgColor theme="0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44" fontId="16" fillId="0" borderId="0" applyFont="0" applyFill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/>
    <xf numFmtId="0" fontId="0" fillId="0" borderId="8" xfId="0" applyBorder="1" applyAlignment="1">
      <alignment horizontal="center" vertical="center"/>
    </xf>
    <xf numFmtId="164" fontId="6" fillId="4" borderId="6" xfId="3" applyNumberFormat="1" applyFont="1" applyFill="1" applyBorder="1" applyAlignment="1">
      <alignment horizontal="center" vertical="top" wrapText="1"/>
    </xf>
    <xf numFmtId="0" fontId="4" fillId="6" borderId="6" xfId="3" applyFill="1" applyBorder="1" applyAlignment="1">
      <alignment horizontal="center" vertical="center" wrapText="1"/>
    </xf>
    <xf numFmtId="0" fontId="4" fillId="5" borderId="6" xfId="3" applyFill="1" applyBorder="1" applyAlignment="1">
      <alignment horizontal="center" vertical="top" wrapText="1"/>
    </xf>
    <xf numFmtId="165" fontId="6" fillId="5" borderId="6" xfId="3" applyNumberFormat="1" applyFont="1" applyFill="1" applyBorder="1" applyAlignment="1">
      <alignment horizontal="center" vertical="top" wrapText="1"/>
    </xf>
    <xf numFmtId="166" fontId="6" fillId="5" borderId="6" xfId="3" applyNumberFormat="1" applyFont="1" applyFill="1" applyBorder="1" applyAlignment="1">
      <alignment horizontal="center" vertical="top" wrapText="1"/>
    </xf>
    <xf numFmtId="164" fontId="6" fillId="5" borderId="6" xfId="3" applyNumberFormat="1" applyFont="1" applyFill="1" applyBorder="1" applyAlignment="1">
      <alignment horizontal="center" vertical="top" wrapText="1"/>
    </xf>
    <xf numFmtId="165" fontId="6" fillId="4" borderId="6" xfId="3" applyNumberFormat="1" applyFont="1" applyFill="1" applyBorder="1" applyAlignment="1">
      <alignment horizontal="center" vertical="top" wrapText="1"/>
    </xf>
    <xf numFmtId="164" fontId="6" fillId="6" borderId="6" xfId="3" applyNumberFormat="1" applyFont="1" applyFill="1" applyBorder="1" applyAlignment="1">
      <alignment horizontal="center" vertical="top" wrapText="1"/>
    </xf>
    <xf numFmtId="0" fontId="4" fillId="4" borderId="6" xfId="3" applyFill="1" applyBorder="1" applyAlignment="1">
      <alignment horizontal="center" vertical="top" wrapText="1"/>
    </xf>
    <xf numFmtId="0" fontId="4" fillId="7" borderId="6" xfId="3" applyFill="1" applyBorder="1" applyAlignment="1">
      <alignment horizontal="center" vertical="top" wrapText="1"/>
    </xf>
    <xf numFmtId="0" fontId="8" fillId="7" borderId="6" xfId="3" applyFont="1" applyFill="1" applyBorder="1" applyAlignment="1">
      <alignment horizontal="center" vertical="center" wrapText="1"/>
    </xf>
    <xf numFmtId="0" fontId="10" fillId="4" borderId="31" xfId="3" applyFont="1" applyFill="1" applyBorder="1" applyAlignment="1">
      <alignment horizontal="center" vertical="top" wrapText="1"/>
    </xf>
    <xf numFmtId="0" fontId="10" fillId="5" borderId="31" xfId="3" applyFont="1" applyFill="1" applyBorder="1" applyAlignment="1">
      <alignment horizontal="center" vertical="center" wrapText="1"/>
    </xf>
    <xf numFmtId="0" fontId="10" fillId="5" borderId="30" xfId="3" applyFont="1" applyFill="1" applyBorder="1" applyAlignment="1">
      <alignment horizontal="center" vertical="center" wrapText="1"/>
    </xf>
    <xf numFmtId="0" fontId="10" fillId="4" borderId="31" xfId="3" applyFont="1" applyFill="1" applyBorder="1" applyAlignment="1">
      <alignment horizontal="center" vertical="center" wrapText="1"/>
    </xf>
    <xf numFmtId="0" fontId="10" fillId="6" borderId="31" xfId="3" applyFont="1" applyFill="1" applyBorder="1" applyAlignment="1">
      <alignment horizontal="center" vertical="center" wrapText="1"/>
    </xf>
    <xf numFmtId="0" fontId="10" fillId="5" borderId="31" xfId="3" applyFont="1" applyFill="1" applyBorder="1" applyAlignment="1">
      <alignment horizontal="center" vertical="top" wrapText="1"/>
    </xf>
    <xf numFmtId="0" fontId="10" fillId="7" borderId="31" xfId="3" applyFont="1" applyFill="1" applyBorder="1" applyAlignment="1">
      <alignment horizontal="center" vertical="center" wrapText="1"/>
    </xf>
    <xf numFmtId="164" fontId="5" fillId="4" borderId="29" xfId="3" applyNumberFormat="1" applyFont="1" applyFill="1" applyBorder="1" applyAlignment="1">
      <alignment horizontal="center" vertical="top" wrapText="1"/>
    </xf>
    <xf numFmtId="165" fontId="5" fillId="5" borderId="29" xfId="3" applyNumberFormat="1" applyFont="1" applyFill="1" applyBorder="1" applyAlignment="1">
      <alignment horizontal="center" vertical="top" wrapText="1"/>
    </xf>
    <xf numFmtId="166" fontId="5" fillId="5" borderId="29" xfId="3" applyNumberFormat="1" applyFont="1" applyFill="1" applyBorder="1" applyAlignment="1">
      <alignment horizontal="center" vertical="top" wrapText="1"/>
    </xf>
    <xf numFmtId="0" fontId="4" fillId="5" borderId="29" xfId="3" applyFill="1" applyBorder="1" applyAlignment="1">
      <alignment horizontal="center" vertical="top" wrapText="1"/>
    </xf>
    <xf numFmtId="164" fontId="5" fillId="5" borderId="29" xfId="3" applyNumberFormat="1" applyFont="1" applyFill="1" applyBorder="1" applyAlignment="1">
      <alignment horizontal="center" vertical="top" wrapText="1"/>
    </xf>
    <xf numFmtId="165" fontId="5" fillId="4" borderId="29" xfId="3" applyNumberFormat="1" applyFont="1" applyFill="1" applyBorder="1" applyAlignment="1">
      <alignment horizontal="center" vertical="top" wrapText="1"/>
    </xf>
    <xf numFmtId="164" fontId="5" fillId="6" borderId="29" xfId="3" applyNumberFormat="1" applyFont="1" applyFill="1" applyBorder="1" applyAlignment="1">
      <alignment horizontal="center" vertical="top" wrapText="1"/>
    </xf>
    <xf numFmtId="0" fontId="4" fillId="4" borderId="29" xfId="3" applyFill="1" applyBorder="1" applyAlignment="1">
      <alignment horizontal="center" vertical="top" wrapText="1"/>
    </xf>
    <xf numFmtId="0" fontId="4" fillId="7" borderId="29" xfId="3" applyFill="1" applyBorder="1" applyAlignment="1">
      <alignment horizontal="center" vertical="top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8" borderId="8" xfId="0" applyFont="1" applyFill="1" applyBorder="1" applyAlignment="1">
      <alignment horizontal="center" vertical="center"/>
    </xf>
    <xf numFmtId="0" fontId="0" fillId="8" borderId="7" xfId="0" applyFill="1" applyBorder="1" applyAlignment="1" applyProtection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8" borderId="18" xfId="0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35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8" borderId="39" xfId="0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0" fillId="11" borderId="6" xfId="0" applyFill="1" applyBorder="1" applyAlignment="1">
      <alignment horizontal="center"/>
    </xf>
    <xf numFmtId="0" fontId="4" fillId="11" borderId="6" xfId="3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/>
    </xf>
    <xf numFmtId="167" fontId="0" fillId="12" borderId="6" xfId="4" applyNumberFormat="1" applyFont="1" applyFill="1" applyBorder="1" applyAlignment="1">
      <alignment horizontal="center" vertical="center"/>
    </xf>
    <xf numFmtId="0" fontId="0" fillId="12" borderId="20" xfId="0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19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 wrapText="1"/>
    </xf>
    <xf numFmtId="0" fontId="0" fillId="5" borderId="47" xfId="0" applyFill="1" applyBorder="1" applyAlignment="1">
      <alignment horizontal="center" vertical="center" wrapText="1"/>
    </xf>
    <xf numFmtId="0" fontId="0" fillId="5" borderId="29" xfId="0" applyFill="1" applyBorder="1" applyAlignment="1">
      <alignment horizontal="center" vertical="center" wrapText="1"/>
    </xf>
    <xf numFmtId="164" fontId="18" fillId="4" borderId="46" xfId="0" applyNumberFormat="1" applyFont="1" applyFill="1" applyBorder="1" applyAlignment="1">
      <alignment horizontal="center" vertical="center" wrapText="1"/>
    </xf>
    <xf numFmtId="165" fontId="18" fillId="5" borderId="47" xfId="0" applyNumberFormat="1" applyFont="1" applyFill="1" applyBorder="1" applyAlignment="1">
      <alignment horizontal="center" vertical="center" wrapText="1"/>
    </xf>
    <xf numFmtId="166" fontId="18" fillId="5" borderId="29" xfId="0" applyNumberFormat="1" applyFont="1" applyFill="1" applyBorder="1" applyAlignment="1">
      <alignment horizontal="center" vertical="center" wrapText="1"/>
    </xf>
    <xf numFmtId="0" fontId="0" fillId="5" borderId="46" xfId="0" applyFill="1" applyBorder="1" applyAlignment="1">
      <alignment horizontal="center" vertical="center" wrapText="1"/>
    </xf>
    <xf numFmtId="164" fontId="18" fillId="5" borderId="46" xfId="0" applyNumberFormat="1" applyFont="1" applyFill="1" applyBorder="1" applyAlignment="1">
      <alignment horizontal="center" vertical="center" wrapText="1"/>
    </xf>
    <xf numFmtId="164" fontId="18" fillId="5" borderId="29" xfId="0" applyNumberFormat="1" applyFont="1" applyFill="1" applyBorder="1" applyAlignment="1">
      <alignment horizontal="center" vertical="center" wrapText="1"/>
    </xf>
    <xf numFmtId="164" fontId="18" fillId="4" borderId="47" xfId="0" applyNumberFormat="1" applyFont="1" applyFill="1" applyBorder="1" applyAlignment="1">
      <alignment horizontal="center" vertical="center" wrapText="1"/>
    </xf>
    <xf numFmtId="164" fontId="18" fillId="4" borderId="29" xfId="0" applyNumberFormat="1" applyFont="1" applyFill="1" applyBorder="1" applyAlignment="1">
      <alignment horizontal="center" vertical="center" wrapText="1"/>
    </xf>
    <xf numFmtId="0" fontId="0" fillId="4" borderId="29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65" fontId="18" fillId="5" borderId="29" xfId="0" applyNumberFormat="1" applyFont="1" applyFill="1" applyBorder="1" applyAlignment="1">
      <alignment horizontal="center" vertical="center" wrapText="1"/>
    </xf>
    <xf numFmtId="165" fontId="18" fillId="4" borderId="29" xfId="0" applyNumberFormat="1" applyFont="1" applyFill="1" applyBorder="1" applyAlignment="1">
      <alignment horizontal="center" vertical="center" wrapText="1"/>
    </xf>
    <xf numFmtId="164" fontId="18" fillId="6" borderId="29" xfId="0" applyNumberFormat="1" applyFont="1" applyFill="1" applyBorder="1" applyAlignment="1">
      <alignment horizontal="center" vertical="center" wrapText="1"/>
    </xf>
    <xf numFmtId="165" fontId="18" fillId="4" borderId="6" xfId="0" applyNumberFormat="1" applyFont="1" applyFill="1" applyBorder="1" applyAlignment="1">
      <alignment horizontal="center" vertical="center" wrapText="1"/>
    </xf>
    <xf numFmtId="164" fontId="18" fillId="4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13" borderId="21" xfId="0" applyFont="1" applyFill="1" applyBorder="1" applyAlignment="1">
      <alignment horizontal="center" vertical="center"/>
    </xf>
    <xf numFmtId="44" fontId="1" fillId="13" borderId="16" xfId="4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18" borderId="18" xfId="0" applyFill="1" applyBorder="1"/>
    <xf numFmtId="0" fontId="0" fillId="18" borderId="20" xfId="0" applyFill="1" applyBorder="1"/>
    <xf numFmtId="0" fontId="0" fillId="18" borderId="4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19" xfId="0" applyFill="1" applyBorder="1"/>
    <xf numFmtId="0" fontId="0" fillId="18" borderId="0" xfId="0" applyFill="1" applyBorder="1" applyAlignment="1">
      <alignment horizontal="center"/>
    </xf>
    <xf numFmtId="0" fontId="0" fillId="18" borderId="13" xfId="0" applyFill="1" applyBorder="1"/>
    <xf numFmtId="0" fontId="0" fillId="18" borderId="3" xfId="0" applyFill="1" applyBorder="1"/>
    <xf numFmtId="0" fontId="1" fillId="10" borderId="13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0" fillId="19" borderId="0" xfId="0" applyFill="1"/>
    <xf numFmtId="164" fontId="18" fillId="15" borderId="46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3" borderId="43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1" fillId="17" borderId="18" xfId="0" applyFont="1" applyFill="1" applyBorder="1" applyAlignment="1">
      <alignment horizontal="center" vertical="center"/>
    </xf>
    <xf numFmtId="0" fontId="1" fillId="17" borderId="13" xfId="0" applyFont="1" applyFill="1" applyBorder="1" applyAlignment="1">
      <alignment horizontal="center" vertical="center"/>
    </xf>
    <xf numFmtId="0" fontId="1" fillId="17" borderId="34" xfId="0" applyFont="1" applyFill="1" applyBorder="1" applyAlignment="1">
      <alignment horizontal="center" vertical="center"/>
    </xf>
    <xf numFmtId="0" fontId="1" fillId="16" borderId="18" xfId="0" applyFont="1" applyFill="1" applyBorder="1" applyAlignment="1">
      <alignment horizontal="center" vertical="center"/>
    </xf>
    <xf numFmtId="0" fontId="1" fillId="16" borderId="13" xfId="0" applyFont="1" applyFill="1" applyBorder="1" applyAlignment="1">
      <alignment horizontal="center" vertical="center"/>
    </xf>
    <xf numFmtId="0" fontId="1" fillId="16" borderId="34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34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9" borderId="11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0" fillId="8" borderId="36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1" fillId="9" borderId="21" xfId="0" applyFont="1" applyFill="1" applyBorder="1" applyAlignment="1">
      <alignment horizontal="center" vertical="center"/>
    </xf>
    <xf numFmtId="0" fontId="11" fillId="9" borderId="16" xfId="0" applyFont="1" applyFill="1" applyBorder="1" applyAlignment="1">
      <alignment horizontal="center" vertical="center"/>
    </xf>
    <xf numFmtId="0" fontId="12" fillId="8" borderId="18" xfId="0" applyFont="1" applyFill="1" applyBorder="1" applyAlignment="1">
      <alignment horizontal="center" vertical="center" wrapText="1"/>
    </xf>
    <xf numFmtId="0" fontId="12" fillId="8" borderId="20" xfId="0" applyFont="1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0" fillId="8" borderId="41" xfId="0" applyFill="1" applyBorder="1" applyAlignment="1">
      <alignment horizontal="center" vertical="center"/>
    </xf>
    <xf numFmtId="0" fontId="0" fillId="8" borderId="4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8" borderId="44" xfId="0" applyFill="1" applyBorder="1" applyAlignment="1">
      <alignment horizontal="center" vertical="center"/>
    </xf>
    <xf numFmtId="0" fontId="0" fillId="8" borderId="45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35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1" fillId="11" borderId="26" xfId="0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11" borderId="2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29" xfId="0" applyFill="1" applyBorder="1" applyAlignment="1">
      <alignment horizontal="center" vertical="center" wrapText="1"/>
    </xf>
    <xf numFmtId="0" fontId="0" fillId="5" borderId="47" xfId="0" applyFill="1" applyBorder="1" applyAlignment="1">
      <alignment horizontal="center" vertical="center" wrapText="1"/>
    </xf>
    <xf numFmtId="0" fontId="9" fillId="4" borderId="26" xfId="3" applyFont="1" applyFill="1" applyBorder="1" applyAlignment="1">
      <alignment horizontal="center" vertical="center" wrapText="1"/>
    </xf>
    <xf numFmtId="0" fontId="9" fillId="4" borderId="28" xfId="3" applyFont="1" applyFill="1" applyBorder="1" applyAlignment="1">
      <alignment horizontal="center" vertical="center" wrapText="1"/>
    </xf>
    <xf numFmtId="0" fontId="9" fillId="4" borderId="24" xfId="3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readingOrder="1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top" wrapText="1"/>
    </xf>
    <xf numFmtId="0" fontId="1" fillId="0" borderId="0" xfId="0" applyFont="1"/>
    <xf numFmtId="0" fontId="21" fillId="0" borderId="0" xfId="0" applyFont="1" applyAlignment="1">
      <alignment horizontal="center" vertical="center" readingOrder="1"/>
    </xf>
    <xf numFmtId="0" fontId="1" fillId="0" borderId="0" xfId="0" applyFont="1" applyAlignment="1"/>
  </cellXfs>
  <cellStyles count="5">
    <cellStyle name="Currency" xfId="4" builtinId="4"/>
    <cellStyle name="Followed Hyperlink" xfId="2" builtinId="9" hidden="1"/>
    <cellStyle name="Hyperlink" xfId="1" builtinId="8" hidden="1"/>
    <cellStyle name="Normal" xfId="0" builtinId="0"/>
    <cellStyle name="Normal 2" xfId="3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735896"/>
      <color rgb="FF513E6A"/>
      <color rgb="FF9982B4"/>
      <color rgb="FFFF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Surface Casing- Pressure Testing</a:t>
            </a:r>
          </a:p>
        </c:rich>
      </c:tx>
      <c:layout>
        <c:manualLayout>
          <c:xMode val="edge"/>
          <c:yMode val="edge"/>
          <c:x val="0.11634033245844269"/>
          <c:y val="0.7962962962962962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28018372703414"/>
          <c:y val="0.18162839020122484"/>
          <c:w val="0.53226159230096237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SurfaceCasingOutput!$B$2</c:f>
              <c:strCache>
                <c:ptCount val="1"/>
                <c:pt idx="0">
                  <c:v>Pipe Tens. Strength</c:v>
                </c:pt>
              </c:strCache>
            </c:strRef>
          </c:tx>
          <c:marker>
            <c:symbol val="none"/>
          </c:marker>
          <c:xVal>
            <c:numRef>
              <c:f>SurfaceCasingOutput!$B$3:$B$51</c:f>
              <c:numCache>
                <c:formatCode>General</c:formatCode>
                <c:ptCount val="49"/>
                <c:pt idx="0">
                  <c:v>744000</c:v>
                </c:pt>
                <c:pt idx="1">
                  <c:v>744000</c:v>
                </c:pt>
                <c:pt idx="2">
                  <c:v>744000</c:v>
                </c:pt>
                <c:pt idx="3">
                  <c:v>744000</c:v>
                </c:pt>
                <c:pt idx="4">
                  <c:v>744000</c:v>
                </c:pt>
                <c:pt idx="5">
                  <c:v>744000</c:v>
                </c:pt>
                <c:pt idx="6">
                  <c:v>744000</c:v>
                </c:pt>
                <c:pt idx="7">
                  <c:v>744000</c:v>
                </c:pt>
                <c:pt idx="8">
                  <c:v>744000</c:v>
                </c:pt>
                <c:pt idx="9">
                  <c:v>744000</c:v>
                </c:pt>
                <c:pt idx="10">
                  <c:v>744000</c:v>
                </c:pt>
                <c:pt idx="11">
                  <c:v>744000</c:v>
                </c:pt>
                <c:pt idx="12">
                  <c:v>744000</c:v>
                </c:pt>
                <c:pt idx="13">
                  <c:v>744000</c:v>
                </c:pt>
                <c:pt idx="14">
                  <c:v>744000</c:v>
                </c:pt>
                <c:pt idx="15">
                  <c:v>744000</c:v>
                </c:pt>
                <c:pt idx="16">
                  <c:v>744000</c:v>
                </c:pt>
                <c:pt idx="17">
                  <c:v>744000</c:v>
                </c:pt>
                <c:pt idx="18">
                  <c:v>744000</c:v>
                </c:pt>
                <c:pt idx="19">
                  <c:v>744000</c:v>
                </c:pt>
                <c:pt idx="20">
                  <c:v>744000</c:v>
                </c:pt>
                <c:pt idx="21">
                  <c:v>744000</c:v>
                </c:pt>
                <c:pt idx="22">
                  <c:v>744000</c:v>
                </c:pt>
                <c:pt idx="23">
                  <c:v>744000</c:v>
                </c:pt>
                <c:pt idx="24">
                  <c:v>744000</c:v>
                </c:pt>
                <c:pt idx="25">
                  <c:v>744000</c:v>
                </c:pt>
                <c:pt idx="26">
                  <c:v>744000</c:v>
                </c:pt>
                <c:pt idx="27">
                  <c:v>744000</c:v>
                </c:pt>
                <c:pt idx="28">
                  <c:v>744000</c:v>
                </c:pt>
                <c:pt idx="29">
                  <c:v>744000</c:v>
                </c:pt>
                <c:pt idx="30">
                  <c:v>744000</c:v>
                </c:pt>
                <c:pt idx="31">
                  <c:v>744000</c:v>
                </c:pt>
                <c:pt idx="32">
                  <c:v>744000</c:v>
                </c:pt>
                <c:pt idx="33">
                  <c:v>744000</c:v>
                </c:pt>
                <c:pt idx="34">
                  <c:v>744000</c:v>
                </c:pt>
                <c:pt idx="35">
                  <c:v>744000</c:v>
                </c:pt>
                <c:pt idx="36">
                  <c:v>744000</c:v>
                </c:pt>
                <c:pt idx="37">
                  <c:v>744000</c:v>
                </c:pt>
                <c:pt idx="38">
                  <c:v>744000</c:v>
                </c:pt>
                <c:pt idx="39">
                  <c:v>744000</c:v>
                </c:pt>
                <c:pt idx="40">
                  <c:v>744000</c:v>
                </c:pt>
                <c:pt idx="41">
                  <c:v>744000</c:v>
                </c:pt>
                <c:pt idx="42">
                  <c:v>744000</c:v>
                </c:pt>
                <c:pt idx="43">
                  <c:v>744000</c:v>
                </c:pt>
                <c:pt idx="44">
                  <c:v>744000</c:v>
                </c:pt>
                <c:pt idx="45">
                  <c:v>744000</c:v>
                </c:pt>
                <c:pt idx="46">
                  <c:v>744000</c:v>
                </c:pt>
                <c:pt idx="47">
                  <c:v>744000</c:v>
                </c:pt>
                <c:pt idx="48">
                  <c:v>744000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SurfaceCasingOutput!$C$2</c:f>
              <c:strCache>
                <c:ptCount val="1"/>
                <c:pt idx="0">
                  <c:v>Pipe Tensile</c:v>
                </c:pt>
              </c:strCache>
            </c:strRef>
          </c:tx>
          <c:marker>
            <c:symbol val="none"/>
          </c:marker>
          <c:xVal>
            <c:numRef>
              <c:f>SurfaceCasingOutput!$C$3:$C$51</c:f>
              <c:numCache>
                <c:formatCode>General</c:formatCode>
                <c:ptCount val="49"/>
                <c:pt idx="0">
                  <c:v>604958.10052330629</c:v>
                </c:pt>
                <c:pt idx="1">
                  <c:v>598958.10052330629</c:v>
                </c:pt>
                <c:pt idx="2">
                  <c:v>592958.10052330629</c:v>
                </c:pt>
                <c:pt idx="3">
                  <c:v>586958.10052330629</c:v>
                </c:pt>
                <c:pt idx="4">
                  <c:v>580958.10052330629</c:v>
                </c:pt>
                <c:pt idx="5">
                  <c:v>574958.10052330629</c:v>
                </c:pt>
                <c:pt idx="6">
                  <c:v>568958.10052330629</c:v>
                </c:pt>
                <c:pt idx="7">
                  <c:v>562958.10052330629</c:v>
                </c:pt>
                <c:pt idx="8">
                  <c:v>556958.10052330629</c:v>
                </c:pt>
                <c:pt idx="9">
                  <c:v>550958.10052330629</c:v>
                </c:pt>
                <c:pt idx="10">
                  <c:v>544958.10052330629</c:v>
                </c:pt>
                <c:pt idx="11">
                  <c:v>538958.10052330629</c:v>
                </c:pt>
                <c:pt idx="12">
                  <c:v>532958.10052330629</c:v>
                </c:pt>
                <c:pt idx="13">
                  <c:v>526958.10052330629</c:v>
                </c:pt>
                <c:pt idx="14">
                  <c:v>520958.10052330629</c:v>
                </c:pt>
                <c:pt idx="15">
                  <c:v>514958.10052330629</c:v>
                </c:pt>
                <c:pt idx="16">
                  <c:v>508958.10052330629</c:v>
                </c:pt>
                <c:pt idx="17">
                  <c:v>502958.10052330629</c:v>
                </c:pt>
                <c:pt idx="18">
                  <c:v>496958.10052330629</c:v>
                </c:pt>
                <c:pt idx="19">
                  <c:v>490958.10052330629</c:v>
                </c:pt>
                <c:pt idx="20">
                  <c:v>484958.10052330629</c:v>
                </c:pt>
                <c:pt idx="21">
                  <c:v>478958.10052330629</c:v>
                </c:pt>
                <c:pt idx="22">
                  <c:v>472958.10052330629</c:v>
                </c:pt>
                <c:pt idx="23">
                  <c:v>466958.10052330629</c:v>
                </c:pt>
                <c:pt idx="24">
                  <c:v>460958.10052330629</c:v>
                </c:pt>
                <c:pt idx="25">
                  <c:v>454958.10052330629</c:v>
                </c:pt>
                <c:pt idx="26">
                  <c:v>448958.10052330629</c:v>
                </c:pt>
                <c:pt idx="27">
                  <c:v>442958.10052330629</c:v>
                </c:pt>
                <c:pt idx="28">
                  <c:v>436958.10052330629</c:v>
                </c:pt>
                <c:pt idx="29">
                  <c:v>430958.10052330629</c:v>
                </c:pt>
                <c:pt idx="30">
                  <c:v>424958.10052330629</c:v>
                </c:pt>
                <c:pt idx="31">
                  <c:v>418958.10052330629</c:v>
                </c:pt>
                <c:pt idx="32">
                  <c:v>412958.10052330629</c:v>
                </c:pt>
                <c:pt idx="33">
                  <c:v>406958.10052330629</c:v>
                </c:pt>
                <c:pt idx="34">
                  <c:v>400958.10052330629</c:v>
                </c:pt>
                <c:pt idx="35">
                  <c:v>394958.10052330629</c:v>
                </c:pt>
                <c:pt idx="36">
                  <c:v>388958.10052330629</c:v>
                </c:pt>
                <c:pt idx="37">
                  <c:v>382958.10052330629</c:v>
                </c:pt>
                <c:pt idx="38">
                  <c:v>376958.10052330629</c:v>
                </c:pt>
                <c:pt idx="39">
                  <c:v>370958.10052330629</c:v>
                </c:pt>
                <c:pt idx="40">
                  <c:v>364958.10052330629</c:v>
                </c:pt>
                <c:pt idx="41">
                  <c:v>358958.10052330629</c:v>
                </c:pt>
                <c:pt idx="42">
                  <c:v>352958.10052330629</c:v>
                </c:pt>
                <c:pt idx="43">
                  <c:v>346958.10052330629</c:v>
                </c:pt>
                <c:pt idx="44">
                  <c:v>340958.10052330629</c:v>
                </c:pt>
                <c:pt idx="45">
                  <c:v>334958.10052330629</c:v>
                </c:pt>
                <c:pt idx="46">
                  <c:v>328958.10052330629</c:v>
                </c:pt>
                <c:pt idx="47">
                  <c:v>322958.10052330629</c:v>
                </c:pt>
                <c:pt idx="48">
                  <c:v>316958.10052330629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SurfaceCasingOutput!$D$2</c:f>
              <c:strCache>
                <c:ptCount val="1"/>
                <c:pt idx="0">
                  <c:v>Joint Tens. Strength</c:v>
                </c:pt>
              </c:strCache>
            </c:strRef>
          </c:tx>
          <c:marker>
            <c:symbol val="none"/>
          </c:marker>
          <c:xVal>
            <c:numRef>
              <c:f>SurfaceCasingOutput!$D$3:$D$51</c:f>
              <c:numCache>
                <c:formatCode>General</c:formatCode>
                <c:ptCount val="49"/>
                <c:pt idx="0">
                  <c:v>823000</c:v>
                </c:pt>
                <c:pt idx="1">
                  <c:v>823000</c:v>
                </c:pt>
                <c:pt idx="2">
                  <c:v>823000</c:v>
                </c:pt>
                <c:pt idx="3">
                  <c:v>823000</c:v>
                </c:pt>
                <c:pt idx="4">
                  <c:v>823000</c:v>
                </c:pt>
                <c:pt idx="5">
                  <c:v>823000</c:v>
                </c:pt>
                <c:pt idx="6">
                  <c:v>823000</c:v>
                </c:pt>
                <c:pt idx="7">
                  <c:v>823000</c:v>
                </c:pt>
                <c:pt idx="8">
                  <c:v>823000</c:v>
                </c:pt>
                <c:pt idx="9">
                  <c:v>823000</c:v>
                </c:pt>
                <c:pt idx="10">
                  <c:v>823000</c:v>
                </c:pt>
                <c:pt idx="11">
                  <c:v>823000</c:v>
                </c:pt>
                <c:pt idx="12">
                  <c:v>823000</c:v>
                </c:pt>
                <c:pt idx="13">
                  <c:v>823000</c:v>
                </c:pt>
                <c:pt idx="14">
                  <c:v>823000</c:v>
                </c:pt>
                <c:pt idx="15">
                  <c:v>823000</c:v>
                </c:pt>
                <c:pt idx="16">
                  <c:v>823000</c:v>
                </c:pt>
                <c:pt idx="17">
                  <c:v>823000</c:v>
                </c:pt>
                <c:pt idx="18">
                  <c:v>823000</c:v>
                </c:pt>
                <c:pt idx="19">
                  <c:v>823000</c:v>
                </c:pt>
                <c:pt idx="20">
                  <c:v>823000</c:v>
                </c:pt>
                <c:pt idx="21">
                  <c:v>823000</c:v>
                </c:pt>
                <c:pt idx="22">
                  <c:v>823000</c:v>
                </c:pt>
                <c:pt idx="23">
                  <c:v>823000</c:v>
                </c:pt>
                <c:pt idx="24">
                  <c:v>823000</c:v>
                </c:pt>
                <c:pt idx="25">
                  <c:v>823000</c:v>
                </c:pt>
                <c:pt idx="26">
                  <c:v>823000</c:v>
                </c:pt>
                <c:pt idx="27">
                  <c:v>823000</c:v>
                </c:pt>
                <c:pt idx="28">
                  <c:v>823000</c:v>
                </c:pt>
                <c:pt idx="29">
                  <c:v>823000</c:v>
                </c:pt>
                <c:pt idx="30">
                  <c:v>823000</c:v>
                </c:pt>
                <c:pt idx="31">
                  <c:v>823000</c:v>
                </c:pt>
                <c:pt idx="32">
                  <c:v>823000</c:v>
                </c:pt>
                <c:pt idx="33">
                  <c:v>823000</c:v>
                </c:pt>
                <c:pt idx="34">
                  <c:v>823000</c:v>
                </c:pt>
                <c:pt idx="35">
                  <c:v>823000</c:v>
                </c:pt>
                <c:pt idx="36">
                  <c:v>823000</c:v>
                </c:pt>
                <c:pt idx="37">
                  <c:v>823000</c:v>
                </c:pt>
                <c:pt idx="38">
                  <c:v>823000</c:v>
                </c:pt>
                <c:pt idx="39">
                  <c:v>823000</c:v>
                </c:pt>
                <c:pt idx="40">
                  <c:v>823000</c:v>
                </c:pt>
                <c:pt idx="41">
                  <c:v>823000</c:v>
                </c:pt>
                <c:pt idx="42">
                  <c:v>823000</c:v>
                </c:pt>
                <c:pt idx="43">
                  <c:v>823000</c:v>
                </c:pt>
                <c:pt idx="44">
                  <c:v>823000</c:v>
                </c:pt>
                <c:pt idx="45">
                  <c:v>823000</c:v>
                </c:pt>
                <c:pt idx="46">
                  <c:v>823000</c:v>
                </c:pt>
                <c:pt idx="47">
                  <c:v>823000</c:v>
                </c:pt>
                <c:pt idx="48">
                  <c:v>823000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SurfaceCasingOutput!$E$2</c:f>
              <c:strCache>
                <c:ptCount val="1"/>
                <c:pt idx="0">
                  <c:v>Joint Tensile</c:v>
                </c:pt>
              </c:strCache>
            </c:strRef>
          </c:tx>
          <c:marker>
            <c:symbol val="none"/>
          </c:marker>
          <c:xVal>
            <c:numRef>
              <c:f>SurfaceCasingOutput!$E$3:$E$51</c:f>
              <c:numCache>
                <c:formatCode>General</c:formatCode>
                <c:ptCount val="49"/>
                <c:pt idx="0">
                  <c:v>725949.7206279675</c:v>
                </c:pt>
                <c:pt idx="1">
                  <c:v>718749.7206279675</c:v>
                </c:pt>
                <c:pt idx="2">
                  <c:v>711549.7206279675</c:v>
                </c:pt>
                <c:pt idx="3">
                  <c:v>704349.7206279675</c:v>
                </c:pt>
                <c:pt idx="4">
                  <c:v>697149.7206279675</c:v>
                </c:pt>
                <c:pt idx="5">
                  <c:v>689949.7206279675</c:v>
                </c:pt>
                <c:pt idx="6">
                  <c:v>682749.7206279675</c:v>
                </c:pt>
                <c:pt idx="7">
                  <c:v>675549.7206279675</c:v>
                </c:pt>
                <c:pt idx="8">
                  <c:v>668349.7206279675</c:v>
                </c:pt>
                <c:pt idx="9">
                  <c:v>661149.7206279675</c:v>
                </c:pt>
                <c:pt idx="10">
                  <c:v>653949.7206279675</c:v>
                </c:pt>
                <c:pt idx="11">
                  <c:v>646749.7206279675</c:v>
                </c:pt>
                <c:pt idx="12">
                  <c:v>639549.7206279675</c:v>
                </c:pt>
                <c:pt idx="13">
                  <c:v>632349.7206279675</c:v>
                </c:pt>
                <c:pt idx="14">
                  <c:v>625149.7206279675</c:v>
                </c:pt>
                <c:pt idx="15">
                  <c:v>617949.7206279675</c:v>
                </c:pt>
                <c:pt idx="16">
                  <c:v>610749.7206279675</c:v>
                </c:pt>
                <c:pt idx="17">
                  <c:v>603549.7206279675</c:v>
                </c:pt>
                <c:pt idx="18">
                  <c:v>596349.7206279675</c:v>
                </c:pt>
                <c:pt idx="19">
                  <c:v>589149.7206279675</c:v>
                </c:pt>
                <c:pt idx="20">
                  <c:v>581949.7206279675</c:v>
                </c:pt>
                <c:pt idx="21">
                  <c:v>574749.7206279675</c:v>
                </c:pt>
                <c:pt idx="22">
                  <c:v>567549.7206279675</c:v>
                </c:pt>
                <c:pt idx="23">
                  <c:v>560349.7206279675</c:v>
                </c:pt>
                <c:pt idx="24">
                  <c:v>553149.7206279675</c:v>
                </c:pt>
                <c:pt idx="25">
                  <c:v>545949.7206279675</c:v>
                </c:pt>
                <c:pt idx="26">
                  <c:v>538749.7206279675</c:v>
                </c:pt>
                <c:pt idx="27">
                  <c:v>531549.7206279675</c:v>
                </c:pt>
                <c:pt idx="28">
                  <c:v>524349.7206279675</c:v>
                </c:pt>
                <c:pt idx="29">
                  <c:v>517149.7206279675</c:v>
                </c:pt>
                <c:pt idx="30">
                  <c:v>509949.7206279675</c:v>
                </c:pt>
                <c:pt idx="31">
                  <c:v>502749.7206279675</c:v>
                </c:pt>
                <c:pt idx="32">
                  <c:v>495549.7206279675</c:v>
                </c:pt>
                <c:pt idx="33">
                  <c:v>488349.7206279675</c:v>
                </c:pt>
                <c:pt idx="34">
                  <c:v>481149.7206279675</c:v>
                </c:pt>
                <c:pt idx="35">
                  <c:v>473949.7206279675</c:v>
                </c:pt>
                <c:pt idx="36">
                  <c:v>466749.7206279675</c:v>
                </c:pt>
                <c:pt idx="37">
                  <c:v>459549.7206279675</c:v>
                </c:pt>
                <c:pt idx="38">
                  <c:v>452349.7206279675</c:v>
                </c:pt>
                <c:pt idx="39">
                  <c:v>445149.7206279675</c:v>
                </c:pt>
                <c:pt idx="40">
                  <c:v>437949.7206279675</c:v>
                </c:pt>
                <c:pt idx="41">
                  <c:v>430749.7206279675</c:v>
                </c:pt>
                <c:pt idx="42">
                  <c:v>423549.7206279675</c:v>
                </c:pt>
                <c:pt idx="43">
                  <c:v>416349.7206279675</c:v>
                </c:pt>
                <c:pt idx="44">
                  <c:v>409149.7206279675</c:v>
                </c:pt>
                <c:pt idx="45">
                  <c:v>401949.7206279675</c:v>
                </c:pt>
                <c:pt idx="46">
                  <c:v>394749.7206279675</c:v>
                </c:pt>
                <c:pt idx="47">
                  <c:v>387549.7206279675</c:v>
                </c:pt>
                <c:pt idx="48">
                  <c:v>380349.7206279675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3232"/>
        <c:axId val="35071104"/>
      </c:scatterChart>
      <c:valAx>
        <c:axId val="5718323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(psi)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071104"/>
        <c:crosses val="autoZero"/>
        <c:crossBetween val="midCat"/>
      </c:valAx>
      <c:valAx>
        <c:axId val="3507110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(feet)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18323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3333333333332"/>
          <c:y val="0.31167432195975509"/>
          <c:w val="0.28716666666666668"/>
          <c:h val="0.334868766404199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Surface Casing- Running Mud Weight</a:t>
            </a:r>
          </a:p>
        </c:rich>
      </c:tx>
      <c:layout>
        <c:manualLayout>
          <c:xMode val="edge"/>
          <c:yMode val="edge"/>
          <c:x val="9.8229291338582672E-2"/>
          <c:y val="0.7962963576921305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28018372703414"/>
          <c:y val="0.18162839020122484"/>
          <c:w val="0.53226159230096237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SurfaceCasingOutput!$G$2</c:f>
              <c:strCache>
                <c:ptCount val="1"/>
                <c:pt idx="0">
                  <c:v>Pipe Tens. Strength</c:v>
                </c:pt>
              </c:strCache>
            </c:strRef>
          </c:tx>
          <c:marker>
            <c:symbol val="none"/>
          </c:marker>
          <c:xVal>
            <c:numRef>
              <c:f>SurfaceCasingOutput!$G$3:$G$51</c:f>
              <c:numCache>
                <c:formatCode>General</c:formatCode>
                <c:ptCount val="49"/>
                <c:pt idx="0">
                  <c:v>744000</c:v>
                </c:pt>
                <c:pt idx="1">
                  <c:v>744000</c:v>
                </c:pt>
                <c:pt idx="2">
                  <c:v>744000</c:v>
                </c:pt>
                <c:pt idx="3">
                  <c:v>744000</c:v>
                </c:pt>
                <c:pt idx="4">
                  <c:v>744000</c:v>
                </c:pt>
                <c:pt idx="5">
                  <c:v>744000</c:v>
                </c:pt>
                <c:pt idx="6">
                  <c:v>744000</c:v>
                </c:pt>
                <c:pt idx="7">
                  <c:v>744000</c:v>
                </c:pt>
                <c:pt idx="8">
                  <c:v>744000</c:v>
                </c:pt>
                <c:pt idx="9">
                  <c:v>744000</c:v>
                </c:pt>
                <c:pt idx="10">
                  <c:v>744000</c:v>
                </c:pt>
                <c:pt idx="11">
                  <c:v>744000</c:v>
                </c:pt>
                <c:pt idx="12">
                  <c:v>744000</c:v>
                </c:pt>
                <c:pt idx="13">
                  <c:v>744000</c:v>
                </c:pt>
                <c:pt idx="14">
                  <c:v>744000</c:v>
                </c:pt>
                <c:pt idx="15">
                  <c:v>744000</c:v>
                </c:pt>
                <c:pt idx="16">
                  <c:v>744000</c:v>
                </c:pt>
                <c:pt idx="17">
                  <c:v>744000</c:v>
                </c:pt>
                <c:pt idx="18">
                  <c:v>744000</c:v>
                </c:pt>
                <c:pt idx="19">
                  <c:v>744000</c:v>
                </c:pt>
                <c:pt idx="20">
                  <c:v>744000</c:v>
                </c:pt>
                <c:pt idx="21">
                  <c:v>744000</c:v>
                </c:pt>
                <c:pt idx="22">
                  <c:v>744000</c:v>
                </c:pt>
                <c:pt idx="23">
                  <c:v>744000</c:v>
                </c:pt>
                <c:pt idx="24">
                  <c:v>744000</c:v>
                </c:pt>
                <c:pt idx="25">
                  <c:v>744000</c:v>
                </c:pt>
                <c:pt idx="26">
                  <c:v>744000</c:v>
                </c:pt>
                <c:pt idx="27">
                  <c:v>744000</c:v>
                </c:pt>
                <c:pt idx="28">
                  <c:v>744000</c:v>
                </c:pt>
                <c:pt idx="29">
                  <c:v>744000</c:v>
                </c:pt>
                <c:pt idx="30">
                  <c:v>744000</c:v>
                </c:pt>
                <c:pt idx="31">
                  <c:v>744000</c:v>
                </c:pt>
                <c:pt idx="32">
                  <c:v>744000</c:v>
                </c:pt>
                <c:pt idx="33">
                  <c:v>744000</c:v>
                </c:pt>
                <c:pt idx="34">
                  <c:v>744000</c:v>
                </c:pt>
                <c:pt idx="35">
                  <c:v>744000</c:v>
                </c:pt>
                <c:pt idx="36">
                  <c:v>744000</c:v>
                </c:pt>
                <c:pt idx="37">
                  <c:v>744000</c:v>
                </c:pt>
                <c:pt idx="38">
                  <c:v>744000</c:v>
                </c:pt>
                <c:pt idx="39">
                  <c:v>744000</c:v>
                </c:pt>
                <c:pt idx="40">
                  <c:v>744000</c:v>
                </c:pt>
                <c:pt idx="41">
                  <c:v>744000</c:v>
                </c:pt>
                <c:pt idx="42">
                  <c:v>744000</c:v>
                </c:pt>
                <c:pt idx="43">
                  <c:v>744000</c:v>
                </c:pt>
                <c:pt idx="44">
                  <c:v>744000</c:v>
                </c:pt>
                <c:pt idx="45">
                  <c:v>744000</c:v>
                </c:pt>
                <c:pt idx="46">
                  <c:v>744000</c:v>
                </c:pt>
                <c:pt idx="47">
                  <c:v>744000</c:v>
                </c:pt>
                <c:pt idx="48">
                  <c:v>744000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SurfaceCasingOutput!$H$2</c:f>
              <c:strCache>
                <c:ptCount val="1"/>
                <c:pt idx="0">
                  <c:v>Pipe Tensile</c:v>
                </c:pt>
              </c:strCache>
            </c:strRef>
          </c:tx>
          <c:marker>
            <c:symbol val="none"/>
          </c:marker>
          <c:xVal>
            <c:numRef>
              <c:f>SurfaceCasingOutput!$H$3:$H$51</c:f>
              <c:numCache>
                <c:formatCode>General</c:formatCode>
                <c:ptCount val="49"/>
                <c:pt idx="0">
                  <c:v>398587.11199167412</c:v>
                </c:pt>
                <c:pt idx="1">
                  <c:v>392587.11199167412</c:v>
                </c:pt>
                <c:pt idx="2">
                  <c:v>386587.11199167412</c:v>
                </c:pt>
                <c:pt idx="3">
                  <c:v>380587.11199167412</c:v>
                </c:pt>
                <c:pt idx="4">
                  <c:v>374587.11199167412</c:v>
                </c:pt>
                <c:pt idx="5">
                  <c:v>368587.11199167412</c:v>
                </c:pt>
                <c:pt idx="6">
                  <c:v>362587.11199167412</c:v>
                </c:pt>
                <c:pt idx="7">
                  <c:v>356587.11199167412</c:v>
                </c:pt>
                <c:pt idx="8">
                  <c:v>350587.11199167412</c:v>
                </c:pt>
                <c:pt idx="9">
                  <c:v>344587.11199167412</c:v>
                </c:pt>
                <c:pt idx="10">
                  <c:v>338587.11199167412</c:v>
                </c:pt>
                <c:pt idx="11">
                  <c:v>332587.11199167412</c:v>
                </c:pt>
                <c:pt idx="12">
                  <c:v>326587.11199167412</c:v>
                </c:pt>
                <c:pt idx="13">
                  <c:v>320587.11199167412</c:v>
                </c:pt>
                <c:pt idx="14">
                  <c:v>314587.11199167412</c:v>
                </c:pt>
                <c:pt idx="15">
                  <c:v>308587.11199167412</c:v>
                </c:pt>
                <c:pt idx="16">
                  <c:v>302587.11199167412</c:v>
                </c:pt>
                <c:pt idx="17">
                  <c:v>296587.11199167412</c:v>
                </c:pt>
                <c:pt idx="18">
                  <c:v>290587.11199167412</c:v>
                </c:pt>
                <c:pt idx="19">
                  <c:v>284587.11199167412</c:v>
                </c:pt>
                <c:pt idx="20">
                  <c:v>278587.11199167412</c:v>
                </c:pt>
                <c:pt idx="21">
                  <c:v>272587.11199167412</c:v>
                </c:pt>
                <c:pt idx="22">
                  <c:v>266587.11199167412</c:v>
                </c:pt>
                <c:pt idx="23">
                  <c:v>260587.11199167412</c:v>
                </c:pt>
                <c:pt idx="24">
                  <c:v>254587.11199167412</c:v>
                </c:pt>
                <c:pt idx="25">
                  <c:v>248587.11199167412</c:v>
                </c:pt>
                <c:pt idx="26">
                  <c:v>242587.11199167412</c:v>
                </c:pt>
                <c:pt idx="27">
                  <c:v>236587.11199167412</c:v>
                </c:pt>
                <c:pt idx="28">
                  <c:v>230587.11199167412</c:v>
                </c:pt>
                <c:pt idx="29">
                  <c:v>224587.11199167412</c:v>
                </c:pt>
                <c:pt idx="30">
                  <c:v>218587.11199167412</c:v>
                </c:pt>
                <c:pt idx="31">
                  <c:v>212587.11199167412</c:v>
                </c:pt>
                <c:pt idx="32">
                  <c:v>206587.11199167412</c:v>
                </c:pt>
                <c:pt idx="33">
                  <c:v>200587.11199167412</c:v>
                </c:pt>
                <c:pt idx="34">
                  <c:v>194587.11199167412</c:v>
                </c:pt>
                <c:pt idx="35">
                  <c:v>188587.11199167412</c:v>
                </c:pt>
                <c:pt idx="36">
                  <c:v>182587.11199167412</c:v>
                </c:pt>
                <c:pt idx="37">
                  <c:v>176587.11199167412</c:v>
                </c:pt>
                <c:pt idx="38">
                  <c:v>170587.11199167412</c:v>
                </c:pt>
                <c:pt idx="39">
                  <c:v>164587.11199167412</c:v>
                </c:pt>
                <c:pt idx="40">
                  <c:v>158587.11199167412</c:v>
                </c:pt>
                <c:pt idx="41">
                  <c:v>152587.11199167412</c:v>
                </c:pt>
                <c:pt idx="42">
                  <c:v>146587.11199167412</c:v>
                </c:pt>
                <c:pt idx="43">
                  <c:v>140587.11199167412</c:v>
                </c:pt>
                <c:pt idx="44">
                  <c:v>134587.11199167412</c:v>
                </c:pt>
                <c:pt idx="45">
                  <c:v>128587.11199167412</c:v>
                </c:pt>
                <c:pt idx="46">
                  <c:v>122587.11199167412</c:v>
                </c:pt>
                <c:pt idx="47">
                  <c:v>116587.11199167412</c:v>
                </c:pt>
                <c:pt idx="48">
                  <c:v>110587.11199167412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SurfaceCasingOutput!$I$2</c:f>
              <c:strCache>
                <c:ptCount val="1"/>
                <c:pt idx="0">
                  <c:v>Joint Tens. Strength</c:v>
                </c:pt>
              </c:strCache>
            </c:strRef>
          </c:tx>
          <c:marker>
            <c:symbol val="none"/>
          </c:marker>
          <c:xVal>
            <c:numRef>
              <c:f>SurfaceCasingOutput!$I$3:$I$51</c:f>
              <c:numCache>
                <c:formatCode>General</c:formatCode>
                <c:ptCount val="49"/>
                <c:pt idx="0">
                  <c:v>823000</c:v>
                </c:pt>
                <c:pt idx="1">
                  <c:v>823000</c:v>
                </c:pt>
                <c:pt idx="2">
                  <c:v>823000</c:v>
                </c:pt>
                <c:pt idx="3">
                  <c:v>823000</c:v>
                </c:pt>
                <c:pt idx="4">
                  <c:v>823000</c:v>
                </c:pt>
                <c:pt idx="5">
                  <c:v>823000</c:v>
                </c:pt>
                <c:pt idx="6">
                  <c:v>823000</c:v>
                </c:pt>
                <c:pt idx="7">
                  <c:v>823000</c:v>
                </c:pt>
                <c:pt idx="8">
                  <c:v>823000</c:v>
                </c:pt>
                <c:pt idx="9">
                  <c:v>823000</c:v>
                </c:pt>
                <c:pt idx="10">
                  <c:v>823000</c:v>
                </c:pt>
                <c:pt idx="11">
                  <c:v>823000</c:v>
                </c:pt>
                <c:pt idx="12">
                  <c:v>823000</c:v>
                </c:pt>
                <c:pt idx="13">
                  <c:v>823000</c:v>
                </c:pt>
                <c:pt idx="14">
                  <c:v>823000</c:v>
                </c:pt>
                <c:pt idx="15">
                  <c:v>823000</c:v>
                </c:pt>
                <c:pt idx="16">
                  <c:v>823000</c:v>
                </c:pt>
                <c:pt idx="17">
                  <c:v>823000</c:v>
                </c:pt>
                <c:pt idx="18">
                  <c:v>823000</c:v>
                </c:pt>
                <c:pt idx="19">
                  <c:v>823000</c:v>
                </c:pt>
                <c:pt idx="20">
                  <c:v>823000</c:v>
                </c:pt>
                <c:pt idx="21">
                  <c:v>823000</c:v>
                </c:pt>
                <c:pt idx="22">
                  <c:v>823000</c:v>
                </c:pt>
                <c:pt idx="23">
                  <c:v>823000</c:v>
                </c:pt>
                <c:pt idx="24">
                  <c:v>823000</c:v>
                </c:pt>
                <c:pt idx="25">
                  <c:v>823000</c:v>
                </c:pt>
                <c:pt idx="26">
                  <c:v>823000</c:v>
                </c:pt>
                <c:pt idx="27">
                  <c:v>823000</c:v>
                </c:pt>
                <c:pt idx="28">
                  <c:v>823000</c:v>
                </c:pt>
                <c:pt idx="29">
                  <c:v>823000</c:v>
                </c:pt>
                <c:pt idx="30">
                  <c:v>823000</c:v>
                </c:pt>
                <c:pt idx="31">
                  <c:v>823000</c:v>
                </c:pt>
                <c:pt idx="32">
                  <c:v>823000</c:v>
                </c:pt>
                <c:pt idx="33">
                  <c:v>823000</c:v>
                </c:pt>
                <c:pt idx="34">
                  <c:v>823000</c:v>
                </c:pt>
                <c:pt idx="35">
                  <c:v>823000</c:v>
                </c:pt>
                <c:pt idx="36">
                  <c:v>823000</c:v>
                </c:pt>
                <c:pt idx="37">
                  <c:v>823000</c:v>
                </c:pt>
                <c:pt idx="38">
                  <c:v>823000</c:v>
                </c:pt>
                <c:pt idx="39">
                  <c:v>823000</c:v>
                </c:pt>
                <c:pt idx="40">
                  <c:v>823000</c:v>
                </c:pt>
                <c:pt idx="41">
                  <c:v>823000</c:v>
                </c:pt>
                <c:pt idx="42">
                  <c:v>823000</c:v>
                </c:pt>
                <c:pt idx="43">
                  <c:v>823000</c:v>
                </c:pt>
                <c:pt idx="44">
                  <c:v>823000</c:v>
                </c:pt>
                <c:pt idx="45">
                  <c:v>823000</c:v>
                </c:pt>
                <c:pt idx="46">
                  <c:v>823000</c:v>
                </c:pt>
                <c:pt idx="47">
                  <c:v>823000</c:v>
                </c:pt>
                <c:pt idx="48">
                  <c:v>823000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SurfaceCasingOutput!$J$2</c:f>
              <c:strCache>
                <c:ptCount val="1"/>
                <c:pt idx="0">
                  <c:v>Joint Tensile</c:v>
                </c:pt>
              </c:strCache>
            </c:strRef>
          </c:tx>
          <c:marker>
            <c:symbol val="none"/>
          </c:marker>
          <c:xVal>
            <c:numRef>
              <c:f>SurfaceCasingOutput!$J$3:$J$51</c:f>
              <c:numCache>
                <c:formatCode>General</c:formatCode>
                <c:ptCount val="49"/>
                <c:pt idx="0">
                  <c:v>448304.53439000895</c:v>
                </c:pt>
                <c:pt idx="1">
                  <c:v>441104.53439000895</c:v>
                </c:pt>
                <c:pt idx="2">
                  <c:v>433904.53439000895</c:v>
                </c:pt>
                <c:pt idx="3">
                  <c:v>426704.53439000895</c:v>
                </c:pt>
                <c:pt idx="4">
                  <c:v>419504.53439000895</c:v>
                </c:pt>
                <c:pt idx="5">
                  <c:v>412304.53439000895</c:v>
                </c:pt>
                <c:pt idx="6">
                  <c:v>405104.53439000895</c:v>
                </c:pt>
                <c:pt idx="7">
                  <c:v>397904.53439000895</c:v>
                </c:pt>
                <c:pt idx="8">
                  <c:v>390704.53439000895</c:v>
                </c:pt>
                <c:pt idx="9">
                  <c:v>383504.53439000895</c:v>
                </c:pt>
                <c:pt idx="10">
                  <c:v>376304.53439000895</c:v>
                </c:pt>
                <c:pt idx="11">
                  <c:v>369104.53439000895</c:v>
                </c:pt>
                <c:pt idx="12">
                  <c:v>361904.53439000895</c:v>
                </c:pt>
                <c:pt idx="13">
                  <c:v>354704.53439000895</c:v>
                </c:pt>
                <c:pt idx="14">
                  <c:v>347504.53439000895</c:v>
                </c:pt>
                <c:pt idx="15">
                  <c:v>340304.53439000895</c:v>
                </c:pt>
                <c:pt idx="16">
                  <c:v>333104.53439000895</c:v>
                </c:pt>
                <c:pt idx="17">
                  <c:v>325904.53439000895</c:v>
                </c:pt>
                <c:pt idx="18">
                  <c:v>318704.53439000895</c:v>
                </c:pt>
                <c:pt idx="19">
                  <c:v>311504.53439000895</c:v>
                </c:pt>
                <c:pt idx="20">
                  <c:v>304304.53439000895</c:v>
                </c:pt>
                <c:pt idx="21">
                  <c:v>297104.53439000895</c:v>
                </c:pt>
                <c:pt idx="22">
                  <c:v>289904.53439000895</c:v>
                </c:pt>
                <c:pt idx="23">
                  <c:v>282704.53439000895</c:v>
                </c:pt>
                <c:pt idx="24">
                  <c:v>275504.53439000895</c:v>
                </c:pt>
                <c:pt idx="25">
                  <c:v>268304.53439000895</c:v>
                </c:pt>
                <c:pt idx="26">
                  <c:v>261104.53439000895</c:v>
                </c:pt>
                <c:pt idx="27">
                  <c:v>253904.53439000895</c:v>
                </c:pt>
                <c:pt idx="28">
                  <c:v>246704.53439000895</c:v>
                </c:pt>
                <c:pt idx="29">
                  <c:v>239504.53439000895</c:v>
                </c:pt>
                <c:pt idx="30">
                  <c:v>232304.53439000895</c:v>
                </c:pt>
                <c:pt idx="31">
                  <c:v>225104.53439000895</c:v>
                </c:pt>
                <c:pt idx="32">
                  <c:v>217904.53439000895</c:v>
                </c:pt>
                <c:pt idx="33">
                  <c:v>210704.53439000895</c:v>
                </c:pt>
                <c:pt idx="34">
                  <c:v>203504.53439000895</c:v>
                </c:pt>
                <c:pt idx="35">
                  <c:v>196304.53439000895</c:v>
                </c:pt>
                <c:pt idx="36">
                  <c:v>189104.53439000895</c:v>
                </c:pt>
                <c:pt idx="37">
                  <c:v>181904.53439000895</c:v>
                </c:pt>
                <c:pt idx="38">
                  <c:v>174704.53439000895</c:v>
                </c:pt>
                <c:pt idx="39">
                  <c:v>167504.53439000895</c:v>
                </c:pt>
                <c:pt idx="40">
                  <c:v>160304.53439000895</c:v>
                </c:pt>
                <c:pt idx="41">
                  <c:v>153104.53439000895</c:v>
                </c:pt>
                <c:pt idx="42">
                  <c:v>145904.53439000895</c:v>
                </c:pt>
                <c:pt idx="43">
                  <c:v>138704.53439000895</c:v>
                </c:pt>
                <c:pt idx="44">
                  <c:v>131504.53439000895</c:v>
                </c:pt>
                <c:pt idx="45">
                  <c:v>124304.53439000894</c:v>
                </c:pt>
                <c:pt idx="46">
                  <c:v>117104.53439000894</c:v>
                </c:pt>
                <c:pt idx="47">
                  <c:v>109904.53439000894</c:v>
                </c:pt>
                <c:pt idx="48">
                  <c:v>102704.53439000894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10880"/>
        <c:axId val="36412800"/>
      </c:scatterChart>
      <c:valAx>
        <c:axId val="3641088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(psi)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412800"/>
        <c:crosses val="autoZero"/>
        <c:crossBetween val="midCat"/>
      </c:valAx>
      <c:valAx>
        <c:axId val="36412800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(feet)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41088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3333333333332"/>
          <c:y val="0.31167432195975509"/>
          <c:w val="0.28716661417322836"/>
          <c:h val="0.338393700787401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Surface Casing- Pressure</a:t>
            </a:r>
            <a:r>
              <a:rPr lang="en-US" baseline="0"/>
              <a:t> Testing Burst</a:t>
            </a:r>
          </a:p>
        </c:rich>
      </c:tx>
      <c:layout>
        <c:manualLayout>
          <c:xMode val="edge"/>
          <c:yMode val="edge"/>
          <c:x val="0.10891795783591567"/>
          <c:y val="0.805555555555555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543243586487176"/>
          <c:y val="0.1723691309419656"/>
          <c:w val="0.56974282448564895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SurfaceCasingOutput!$M$2</c:f>
              <c:strCache>
                <c:ptCount val="1"/>
                <c:pt idx="0">
                  <c:v>Burst Strength</c:v>
                </c:pt>
              </c:strCache>
            </c:strRef>
          </c:tx>
          <c:marker>
            <c:symbol val="none"/>
          </c:marker>
          <c:xVal>
            <c:numRef>
              <c:f>SurfaceCasingOutput!$M$3:$M$51</c:f>
              <c:numCache>
                <c:formatCode>General</c:formatCode>
                <c:ptCount val="49"/>
                <c:pt idx="0">
                  <c:v>6020</c:v>
                </c:pt>
                <c:pt idx="1">
                  <c:v>6020</c:v>
                </c:pt>
                <c:pt idx="2">
                  <c:v>6020</c:v>
                </c:pt>
                <c:pt idx="3">
                  <c:v>6020</c:v>
                </c:pt>
                <c:pt idx="4">
                  <c:v>6020</c:v>
                </c:pt>
                <c:pt idx="5">
                  <c:v>6020</c:v>
                </c:pt>
                <c:pt idx="6">
                  <c:v>5590</c:v>
                </c:pt>
                <c:pt idx="7">
                  <c:v>5590</c:v>
                </c:pt>
                <c:pt idx="8">
                  <c:v>5590</c:v>
                </c:pt>
                <c:pt idx="9">
                  <c:v>5590</c:v>
                </c:pt>
                <c:pt idx="10">
                  <c:v>5590</c:v>
                </c:pt>
                <c:pt idx="11">
                  <c:v>5590</c:v>
                </c:pt>
                <c:pt idx="12">
                  <c:v>5590</c:v>
                </c:pt>
                <c:pt idx="13">
                  <c:v>5590</c:v>
                </c:pt>
                <c:pt idx="14">
                  <c:v>5590</c:v>
                </c:pt>
                <c:pt idx="15">
                  <c:v>5590</c:v>
                </c:pt>
                <c:pt idx="16">
                  <c:v>5590</c:v>
                </c:pt>
                <c:pt idx="17">
                  <c:v>5590</c:v>
                </c:pt>
                <c:pt idx="18">
                  <c:v>5590</c:v>
                </c:pt>
                <c:pt idx="19">
                  <c:v>5590</c:v>
                </c:pt>
                <c:pt idx="20">
                  <c:v>5590</c:v>
                </c:pt>
                <c:pt idx="21">
                  <c:v>5590</c:v>
                </c:pt>
                <c:pt idx="22">
                  <c:v>5590</c:v>
                </c:pt>
                <c:pt idx="23">
                  <c:v>5590</c:v>
                </c:pt>
                <c:pt idx="24">
                  <c:v>5590</c:v>
                </c:pt>
                <c:pt idx="25">
                  <c:v>5590</c:v>
                </c:pt>
                <c:pt idx="26">
                  <c:v>5590</c:v>
                </c:pt>
                <c:pt idx="27">
                  <c:v>5590</c:v>
                </c:pt>
                <c:pt idx="28">
                  <c:v>5590</c:v>
                </c:pt>
                <c:pt idx="29">
                  <c:v>5590</c:v>
                </c:pt>
                <c:pt idx="30">
                  <c:v>5590</c:v>
                </c:pt>
                <c:pt idx="31">
                  <c:v>5590</c:v>
                </c:pt>
                <c:pt idx="32">
                  <c:v>5590</c:v>
                </c:pt>
                <c:pt idx="33">
                  <c:v>5590</c:v>
                </c:pt>
                <c:pt idx="34">
                  <c:v>5590</c:v>
                </c:pt>
                <c:pt idx="35">
                  <c:v>5590</c:v>
                </c:pt>
                <c:pt idx="36">
                  <c:v>5590</c:v>
                </c:pt>
                <c:pt idx="37">
                  <c:v>5590</c:v>
                </c:pt>
                <c:pt idx="38">
                  <c:v>5590</c:v>
                </c:pt>
                <c:pt idx="39">
                  <c:v>5590</c:v>
                </c:pt>
                <c:pt idx="40">
                  <c:v>5590</c:v>
                </c:pt>
                <c:pt idx="41">
                  <c:v>5590</c:v>
                </c:pt>
                <c:pt idx="42">
                  <c:v>5590</c:v>
                </c:pt>
                <c:pt idx="43">
                  <c:v>5590</c:v>
                </c:pt>
                <c:pt idx="44">
                  <c:v>5590</c:v>
                </c:pt>
                <c:pt idx="45">
                  <c:v>5590</c:v>
                </c:pt>
                <c:pt idx="46">
                  <c:v>5590</c:v>
                </c:pt>
                <c:pt idx="47">
                  <c:v>5590</c:v>
                </c:pt>
                <c:pt idx="48">
                  <c:v>5590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SurfaceCasingOutput!$N$2</c:f>
              <c:strCache>
                <c:ptCount val="1"/>
                <c:pt idx="0">
                  <c:v>Burst</c:v>
                </c:pt>
              </c:strCache>
            </c:strRef>
          </c:tx>
          <c:marker>
            <c:symbol val="none"/>
          </c:marker>
          <c:xVal>
            <c:numRef>
              <c:f>SurfaceCasingOutput!$N$3:$N$51</c:f>
              <c:numCache>
                <c:formatCode>General</c:formatCode>
                <c:ptCount val="49"/>
                <c:pt idx="0">
                  <c:v>4380.3825244623313</c:v>
                </c:pt>
                <c:pt idx="1">
                  <c:v>4341.3662570136057</c:v>
                </c:pt>
                <c:pt idx="2">
                  <c:v>4302.3499895648811</c:v>
                </c:pt>
                <c:pt idx="3">
                  <c:v>4263.3337221161555</c:v>
                </c:pt>
                <c:pt idx="4">
                  <c:v>4224.31745466743</c:v>
                </c:pt>
                <c:pt idx="5">
                  <c:v>4185.3011872187044</c:v>
                </c:pt>
                <c:pt idx="6">
                  <c:v>4146.2849197699798</c:v>
                </c:pt>
                <c:pt idx="7">
                  <c:v>4107.2686523212542</c:v>
                </c:pt>
                <c:pt idx="8">
                  <c:v>4068.2523848725291</c:v>
                </c:pt>
                <c:pt idx="9">
                  <c:v>4029.2361174238035</c:v>
                </c:pt>
                <c:pt idx="10">
                  <c:v>3990.2198499750784</c:v>
                </c:pt>
                <c:pt idx="11">
                  <c:v>3951.2035825263529</c:v>
                </c:pt>
                <c:pt idx="12">
                  <c:v>3912.1873150776273</c:v>
                </c:pt>
                <c:pt idx="13">
                  <c:v>3873.1710476289027</c:v>
                </c:pt>
                <c:pt idx="14">
                  <c:v>3834.1547801801771</c:v>
                </c:pt>
                <c:pt idx="15">
                  <c:v>3795.1385127314516</c:v>
                </c:pt>
                <c:pt idx="16">
                  <c:v>3756.122245282726</c:v>
                </c:pt>
                <c:pt idx="17">
                  <c:v>3717.1059778340009</c:v>
                </c:pt>
                <c:pt idx="18">
                  <c:v>3678.0897103852753</c:v>
                </c:pt>
                <c:pt idx="19">
                  <c:v>3639.0734429365502</c:v>
                </c:pt>
                <c:pt idx="20">
                  <c:v>3600.0571754878251</c:v>
                </c:pt>
                <c:pt idx="21">
                  <c:v>3561.0409080390996</c:v>
                </c:pt>
                <c:pt idx="22">
                  <c:v>3522.0246405903745</c:v>
                </c:pt>
                <c:pt idx="23">
                  <c:v>3483.0083731416494</c:v>
                </c:pt>
                <c:pt idx="24">
                  <c:v>3443.9921056929238</c:v>
                </c:pt>
                <c:pt idx="25">
                  <c:v>3404.9758382441983</c:v>
                </c:pt>
                <c:pt idx="26">
                  <c:v>3365.9595707954732</c:v>
                </c:pt>
                <c:pt idx="27">
                  <c:v>3326.9433033467485</c:v>
                </c:pt>
                <c:pt idx="28">
                  <c:v>3287.9270358980225</c:v>
                </c:pt>
                <c:pt idx="29">
                  <c:v>3248.9107684492974</c:v>
                </c:pt>
                <c:pt idx="30">
                  <c:v>3209.8945010005723</c:v>
                </c:pt>
                <c:pt idx="31">
                  <c:v>3170.8782335518467</c:v>
                </c:pt>
                <c:pt idx="32">
                  <c:v>3131.8619661031212</c:v>
                </c:pt>
                <c:pt idx="33">
                  <c:v>3092.8456986543961</c:v>
                </c:pt>
                <c:pt idx="34">
                  <c:v>3053.8294312056714</c:v>
                </c:pt>
                <c:pt idx="35">
                  <c:v>3014.8131637569459</c:v>
                </c:pt>
                <c:pt idx="36">
                  <c:v>2975.7968963082203</c:v>
                </c:pt>
                <c:pt idx="37">
                  <c:v>2936.7806288594952</c:v>
                </c:pt>
                <c:pt idx="38">
                  <c:v>2897.7643614107697</c:v>
                </c:pt>
                <c:pt idx="39">
                  <c:v>2858.7480939620441</c:v>
                </c:pt>
                <c:pt idx="40">
                  <c:v>2819.731826513319</c:v>
                </c:pt>
                <c:pt idx="41">
                  <c:v>2780.7155590645939</c:v>
                </c:pt>
                <c:pt idx="42">
                  <c:v>2741.6992916158688</c:v>
                </c:pt>
                <c:pt idx="43">
                  <c:v>2702.6830241671432</c:v>
                </c:pt>
                <c:pt idx="44">
                  <c:v>2663.6667567184181</c:v>
                </c:pt>
                <c:pt idx="45">
                  <c:v>2624.650489269693</c:v>
                </c:pt>
                <c:pt idx="46">
                  <c:v>2585.6342218209675</c:v>
                </c:pt>
                <c:pt idx="47">
                  <c:v>2546.6179543722419</c:v>
                </c:pt>
                <c:pt idx="48">
                  <c:v>2507.6016869235168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48512"/>
        <c:axId val="63650432"/>
      </c:scatterChart>
      <c:valAx>
        <c:axId val="636485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(psi)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650432"/>
        <c:crosses val="autoZero"/>
        <c:crossBetween val="midCat"/>
      </c:valAx>
      <c:valAx>
        <c:axId val="6365043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648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318601303869262"/>
          <c:y val="0.37224336541265679"/>
          <c:w val="0.21681398696130724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Surface Casing- Gas</a:t>
            </a:r>
            <a:r>
              <a:rPr lang="en-US" baseline="0"/>
              <a:t> Kick Burst Test</a:t>
            </a:r>
          </a:p>
        </c:rich>
      </c:tx>
      <c:layout>
        <c:manualLayout>
          <c:xMode val="edge"/>
          <c:yMode val="edge"/>
          <c:x val="0.10928941809103129"/>
          <c:y val="0.805555555555555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543243586487176"/>
          <c:y val="0.1723691309419656"/>
          <c:w val="0.56974282448564895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SurfaceCasingOutput!$M$2</c:f>
              <c:strCache>
                <c:ptCount val="1"/>
                <c:pt idx="0">
                  <c:v>Burst Strength</c:v>
                </c:pt>
              </c:strCache>
            </c:strRef>
          </c:tx>
          <c:marker>
            <c:symbol val="none"/>
          </c:marker>
          <c:xVal>
            <c:numRef>
              <c:f>SurfaceCasingOutput!$M$3:$M$51</c:f>
              <c:numCache>
                <c:formatCode>General</c:formatCode>
                <c:ptCount val="49"/>
                <c:pt idx="0">
                  <c:v>6020</c:v>
                </c:pt>
                <c:pt idx="1">
                  <c:v>6020</c:v>
                </c:pt>
                <c:pt idx="2">
                  <c:v>6020</c:v>
                </c:pt>
                <c:pt idx="3">
                  <c:v>6020</c:v>
                </c:pt>
                <c:pt idx="4">
                  <c:v>6020</c:v>
                </c:pt>
                <c:pt idx="5">
                  <c:v>6020</c:v>
                </c:pt>
                <c:pt idx="6">
                  <c:v>5590</c:v>
                </c:pt>
                <c:pt idx="7">
                  <c:v>5590</c:v>
                </c:pt>
                <c:pt idx="8">
                  <c:v>5590</c:v>
                </c:pt>
                <c:pt idx="9">
                  <c:v>5590</c:v>
                </c:pt>
                <c:pt idx="10">
                  <c:v>5590</c:v>
                </c:pt>
                <c:pt idx="11">
                  <c:v>5590</c:v>
                </c:pt>
                <c:pt idx="12">
                  <c:v>5590</c:v>
                </c:pt>
                <c:pt idx="13">
                  <c:v>5590</c:v>
                </c:pt>
                <c:pt idx="14">
                  <c:v>5590</c:v>
                </c:pt>
                <c:pt idx="15">
                  <c:v>5590</c:v>
                </c:pt>
                <c:pt idx="16">
                  <c:v>5590</c:v>
                </c:pt>
                <c:pt idx="17">
                  <c:v>5590</c:v>
                </c:pt>
                <c:pt idx="18">
                  <c:v>5590</c:v>
                </c:pt>
                <c:pt idx="19">
                  <c:v>5590</c:v>
                </c:pt>
                <c:pt idx="20">
                  <c:v>5590</c:v>
                </c:pt>
                <c:pt idx="21">
                  <c:v>5590</c:v>
                </c:pt>
                <c:pt idx="22">
                  <c:v>5590</c:v>
                </c:pt>
                <c:pt idx="23">
                  <c:v>5590</c:v>
                </c:pt>
                <c:pt idx="24">
                  <c:v>5590</c:v>
                </c:pt>
                <c:pt idx="25">
                  <c:v>5590</c:v>
                </c:pt>
                <c:pt idx="26">
                  <c:v>5590</c:v>
                </c:pt>
                <c:pt idx="27">
                  <c:v>5590</c:v>
                </c:pt>
                <c:pt idx="28">
                  <c:v>5590</c:v>
                </c:pt>
                <c:pt idx="29">
                  <c:v>5590</c:v>
                </c:pt>
                <c:pt idx="30">
                  <c:v>5590</c:v>
                </c:pt>
                <c:pt idx="31">
                  <c:v>5590</c:v>
                </c:pt>
                <c:pt idx="32">
                  <c:v>5590</c:v>
                </c:pt>
                <c:pt idx="33">
                  <c:v>5590</c:v>
                </c:pt>
                <c:pt idx="34">
                  <c:v>5590</c:v>
                </c:pt>
                <c:pt idx="35">
                  <c:v>5590</c:v>
                </c:pt>
                <c:pt idx="36">
                  <c:v>5590</c:v>
                </c:pt>
                <c:pt idx="37">
                  <c:v>5590</c:v>
                </c:pt>
                <c:pt idx="38">
                  <c:v>5590</c:v>
                </c:pt>
                <c:pt idx="39">
                  <c:v>5590</c:v>
                </c:pt>
                <c:pt idx="40">
                  <c:v>5590</c:v>
                </c:pt>
                <c:pt idx="41">
                  <c:v>5590</c:v>
                </c:pt>
                <c:pt idx="42">
                  <c:v>5590</c:v>
                </c:pt>
                <c:pt idx="43">
                  <c:v>5590</c:v>
                </c:pt>
                <c:pt idx="44">
                  <c:v>5590</c:v>
                </c:pt>
                <c:pt idx="45">
                  <c:v>5590</c:v>
                </c:pt>
                <c:pt idx="46">
                  <c:v>5590</c:v>
                </c:pt>
                <c:pt idx="47">
                  <c:v>5590</c:v>
                </c:pt>
                <c:pt idx="48">
                  <c:v>5590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SurfaceCasingOutput!$N$2</c:f>
              <c:strCache>
                <c:ptCount val="1"/>
                <c:pt idx="0">
                  <c:v>Burst</c:v>
                </c:pt>
              </c:strCache>
            </c:strRef>
          </c:tx>
          <c:marker>
            <c:symbol val="none"/>
          </c:marker>
          <c:xVal>
            <c:numRef>
              <c:f>SurfaceCasingOutput!$V$3:$V$51</c:f>
              <c:numCache>
                <c:formatCode>General</c:formatCode>
                <c:ptCount val="49"/>
                <c:pt idx="0">
                  <c:v>4400</c:v>
                </c:pt>
                <c:pt idx="1">
                  <c:v>4402.1142857142859</c:v>
                </c:pt>
                <c:pt idx="2">
                  <c:v>4404.2285714285717</c:v>
                </c:pt>
                <c:pt idx="3">
                  <c:v>4406.3428571428567</c:v>
                </c:pt>
                <c:pt idx="4">
                  <c:v>4408.4571428571435</c:v>
                </c:pt>
                <c:pt idx="5">
                  <c:v>4410.5714285714284</c:v>
                </c:pt>
                <c:pt idx="6">
                  <c:v>4412.6857142857152</c:v>
                </c:pt>
                <c:pt idx="7">
                  <c:v>4414.8</c:v>
                </c:pt>
                <c:pt idx="8">
                  <c:v>4416.9142857142861</c:v>
                </c:pt>
                <c:pt idx="9">
                  <c:v>4419.028571428571</c:v>
                </c:pt>
                <c:pt idx="10">
                  <c:v>4421.1428571428578</c:v>
                </c:pt>
                <c:pt idx="11">
                  <c:v>4423.2571428571428</c:v>
                </c:pt>
                <c:pt idx="12">
                  <c:v>4425.3714285714295</c:v>
                </c:pt>
                <c:pt idx="13">
                  <c:v>4427.4857142857145</c:v>
                </c:pt>
                <c:pt idx="14">
                  <c:v>4429.6000000000004</c:v>
                </c:pt>
                <c:pt idx="15">
                  <c:v>4431.7142857142862</c:v>
                </c:pt>
                <c:pt idx="16">
                  <c:v>4433.8285714285721</c:v>
                </c:pt>
                <c:pt idx="17">
                  <c:v>4435.9428571428571</c:v>
                </c:pt>
                <c:pt idx="18">
                  <c:v>4438.0571428571438</c:v>
                </c:pt>
                <c:pt idx="19">
                  <c:v>4440.1714285714288</c:v>
                </c:pt>
                <c:pt idx="20">
                  <c:v>4442.2857142857147</c:v>
                </c:pt>
                <c:pt idx="21">
                  <c:v>4444.3999999999996</c:v>
                </c:pt>
                <c:pt idx="22">
                  <c:v>4446.5142857142855</c:v>
                </c:pt>
                <c:pt idx="23">
                  <c:v>4448.6285714285723</c:v>
                </c:pt>
                <c:pt idx="24">
                  <c:v>4450.7428571428572</c:v>
                </c:pt>
                <c:pt idx="25">
                  <c:v>4452.8571428571431</c:v>
                </c:pt>
                <c:pt idx="26">
                  <c:v>4454.9714285714281</c:v>
                </c:pt>
                <c:pt idx="27">
                  <c:v>4457.0857142857149</c:v>
                </c:pt>
                <c:pt idx="28">
                  <c:v>4459.2</c:v>
                </c:pt>
                <c:pt idx="29">
                  <c:v>4461.3142857142857</c:v>
                </c:pt>
                <c:pt idx="30">
                  <c:v>4463.4285714285716</c:v>
                </c:pt>
                <c:pt idx="31">
                  <c:v>4465.5428571428574</c:v>
                </c:pt>
                <c:pt idx="32">
                  <c:v>4467.6571428571424</c:v>
                </c:pt>
                <c:pt idx="33">
                  <c:v>4469.7714285714292</c:v>
                </c:pt>
                <c:pt idx="34">
                  <c:v>4471.8857142857141</c:v>
                </c:pt>
                <c:pt idx="35">
                  <c:v>4474.0000000000009</c:v>
                </c:pt>
                <c:pt idx="36">
                  <c:v>4476.1142857142859</c:v>
                </c:pt>
                <c:pt idx="37">
                  <c:v>4478.2285714285717</c:v>
                </c:pt>
                <c:pt idx="38">
                  <c:v>4480.3428571428567</c:v>
                </c:pt>
                <c:pt idx="39">
                  <c:v>4482.4571428571435</c:v>
                </c:pt>
                <c:pt idx="40">
                  <c:v>4484.5714285714284</c:v>
                </c:pt>
                <c:pt idx="41">
                  <c:v>4486.6857142857152</c:v>
                </c:pt>
                <c:pt idx="42">
                  <c:v>4488.8</c:v>
                </c:pt>
                <c:pt idx="43">
                  <c:v>4490.9142857142851</c:v>
                </c:pt>
                <c:pt idx="44">
                  <c:v>4493.0285714285719</c:v>
                </c:pt>
                <c:pt idx="45">
                  <c:v>4495.1428571428569</c:v>
                </c:pt>
                <c:pt idx="46">
                  <c:v>4497.2571428571428</c:v>
                </c:pt>
                <c:pt idx="47">
                  <c:v>4499.3714285714277</c:v>
                </c:pt>
                <c:pt idx="48">
                  <c:v>4501.4857142857145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84608"/>
        <c:axId val="63686528"/>
      </c:scatterChart>
      <c:valAx>
        <c:axId val="6368460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(psi)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686528"/>
        <c:crosses val="autoZero"/>
        <c:crossBetween val="midCat"/>
      </c:valAx>
      <c:valAx>
        <c:axId val="6368652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68460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318601303869262"/>
          <c:y val="0.37224336541265679"/>
          <c:w val="0.21681390435951603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Surface Casing- Cement Job Collapse</a:t>
            </a:r>
            <a:endParaRPr lang="en-US" baseline="0"/>
          </a:p>
        </c:rich>
      </c:tx>
      <c:layout>
        <c:manualLayout>
          <c:xMode val="edge"/>
          <c:yMode val="edge"/>
          <c:x val="0.11199944519130228"/>
          <c:y val="0.805555555555555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543243586487176"/>
          <c:y val="0.1723691309419656"/>
          <c:w val="0.56974282448564895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SurfaceCasingOutput!$AB$2</c:f>
              <c:strCache>
                <c:ptCount val="1"/>
                <c:pt idx="0">
                  <c:v>Biaxial Collapse</c:v>
                </c:pt>
              </c:strCache>
            </c:strRef>
          </c:tx>
          <c:marker>
            <c:symbol val="none"/>
          </c:marker>
          <c:xVal>
            <c:numRef>
              <c:f>SurfaceCasingOutput!$AB$3:$AB$51</c:f>
              <c:numCache>
                <c:formatCode>General</c:formatCode>
                <c:ptCount val="49"/>
                <c:pt idx="0">
                  <c:v>2649.602666208928</c:v>
                </c:pt>
                <c:pt idx="1">
                  <c:v>2652.4877204686327</c:v>
                </c:pt>
                <c:pt idx="2">
                  <c:v>2655.3232347692992</c:v>
                </c:pt>
                <c:pt idx="3">
                  <c:v>2660.5337050379007</c:v>
                </c:pt>
                <c:pt idx="4">
                  <c:v>2665.6959402233811</c:v>
                </c:pt>
                <c:pt idx="5">
                  <c:v>2670.8102031600506</c:v>
                </c:pt>
                <c:pt idx="6">
                  <c:v>2675.8767539867504</c:v>
                </c:pt>
                <c:pt idx="7">
                  <c:v>2680.8958501498373</c:v>
                </c:pt>
                <c:pt idx="8">
                  <c:v>2685.8677464056977</c:v>
                </c:pt>
                <c:pt idx="9">
                  <c:v>2690.7926948227832</c:v>
                </c:pt>
                <c:pt idx="10">
                  <c:v>2695.6709447831622</c:v>
                </c:pt>
                <c:pt idx="11">
                  <c:v>2700.5027429835936</c:v>
                </c:pt>
                <c:pt idx="12">
                  <c:v>2705.2883334361077</c:v>
                </c:pt>
                <c:pt idx="13">
                  <c:v>2710.0279574681085</c:v>
                </c:pt>
                <c:pt idx="14">
                  <c:v>2714.721853721966</c:v>
                </c:pt>
                <c:pt idx="15">
                  <c:v>2719.3702581541397</c:v>
                </c:pt>
                <c:pt idx="16">
                  <c:v>2723.9734040337753</c:v>
                </c:pt>
                <c:pt idx="17">
                  <c:v>2728.5315219408094</c:v>
                </c:pt>
                <c:pt idx="18">
                  <c:v>2733.0448397635701</c:v>
                </c:pt>
                <c:pt idx="19">
                  <c:v>2737.5135826958472</c:v>
                </c:pt>
                <c:pt idx="20">
                  <c:v>2741.937973233466</c:v>
                </c:pt>
                <c:pt idx="21">
                  <c:v>2746.3182311703117</c:v>
                </c:pt>
                <c:pt idx="22">
                  <c:v>2750.6545735938353</c:v>
                </c:pt>
                <c:pt idx="23">
                  <c:v>2754.9472148800273</c:v>
                </c:pt>
                <c:pt idx="24">
                  <c:v>2759.196366687825</c:v>
                </c:pt>
                <c:pt idx="25">
                  <c:v>2763.4022379529915</c:v>
                </c:pt>
                <c:pt idx="26">
                  <c:v>2767.5650348814215</c:v>
                </c:pt>
                <c:pt idx="27">
                  <c:v>2771.6849609418732</c:v>
                </c:pt>
                <c:pt idx="28">
                  <c:v>2775.7622168581447</c:v>
                </c:pt>
                <c:pt idx="29">
                  <c:v>2779.7970006006449</c:v>
                </c:pt>
                <c:pt idx="30">
                  <c:v>2783.7895073773789</c:v>
                </c:pt>
                <c:pt idx="31">
                  <c:v>2787.739929624322</c:v>
                </c:pt>
                <c:pt idx="32">
                  <c:v>2791.6484569951931</c:v>
                </c:pt>
                <c:pt idx="33">
                  <c:v>2795.5152763505853</c:v>
                </c:pt>
                <c:pt idx="34">
                  <c:v>2799.340571746473</c:v>
                </c:pt>
                <c:pt idx="35">
                  <c:v>2803.1245244220627</c:v>
                </c:pt>
                <c:pt idx="36">
                  <c:v>2806.8673127869947</c:v>
                </c:pt>
                <c:pt idx="37">
                  <c:v>2810.5691124078544</c:v>
                </c:pt>
                <c:pt idx="38">
                  <c:v>2814.2300959940148</c:v>
                </c:pt>
                <c:pt idx="39">
                  <c:v>2817.8504333827727</c:v>
                </c:pt>
                <c:pt idx="40">
                  <c:v>2821.4302915237727</c:v>
                </c:pt>
                <c:pt idx="41">
                  <c:v>2824.9698344626945</c:v>
                </c:pt>
                <c:pt idx="42">
                  <c:v>2828.4692233242158</c:v>
                </c:pt>
                <c:pt idx="43">
                  <c:v>2831.9286162941944</c:v>
                </c:pt>
                <c:pt idx="44">
                  <c:v>2835.3481686010896</c:v>
                </c:pt>
                <c:pt idx="45">
                  <c:v>2838.7280324965777</c:v>
                </c:pt>
                <c:pt idx="46">
                  <c:v>2842.0683572353737</c:v>
                </c:pt>
                <c:pt idx="47">
                  <c:v>2845.3692890541997</c:v>
                </c:pt>
                <c:pt idx="48">
                  <c:v>2848.6309711499275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SurfaceCasingOutput!$AC$2</c:f>
              <c:strCache>
                <c:ptCount val="1"/>
                <c:pt idx="0">
                  <c:v>Collapse</c:v>
                </c:pt>
              </c:strCache>
            </c:strRef>
          </c:tx>
          <c:marker>
            <c:symbol val="none"/>
          </c:marker>
          <c:xVal>
            <c:numRef>
              <c:f>SurfaceCasingOutput!$AC$3:$AC$51</c:f>
              <c:numCache>
                <c:formatCode>General</c:formatCode>
                <c:ptCount val="49"/>
                <c:pt idx="0">
                  <c:v>0</c:v>
                </c:pt>
                <c:pt idx="1">
                  <c:v>20.571428571428584</c:v>
                </c:pt>
                <c:pt idx="2">
                  <c:v>41.142857142857167</c:v>
                </c:pt>
                <c:pt idx="3">
                  <c:v>61.714285714285737</c:v>
                </c:pt>
                <c:pt idx="4">
                  <c:v>82.285714285714334</c:v>
                </c:pt>
                <c:pt idx="5">
                  <c:v>102.8571428571429</c:v>
                </c:pt>
                <c:pt idx="6">
                  <c:v>123.42857142857147</c:v>
                </c:pt>
                <c:pt idx="7">
                  <c:v>144.00000000000011</c:v>
                </c:pt>
                <c:pt idx="8">
                  <c:v>164.57142857142867</c:v>
                </c:pt>
                <c:pt idx="9">
                  <c:v>185.14285714285717</c:v>
                </c:pt>
                <c:pt idx="10">
                  <c:v>205.71428571428581</c:v>
                </c:pt>
                <c:pt idx="11">
                  <c:v>226.28571428571436</c:v>
                </c:pt>
                <c:pt idx="12">
                  <c:v>246.85714285714295</c:v>
                </c:pt>
                <c:pt idx="13">
                  <c:v>267.4285714285715</c:v>
                </c:pt>
                <c:pt idx="14">
                  <c:v>288.00000000000023</c:v>
                </c:pt>
                <c:pt idx="15">
                  <c:v>308.57142857142878</c:v>
                </c:pt>
                <c:pt idx="16">
                  <c:v>329.14285714285734</c:v>
                </c:pt>
                <c:pt idx="17">
                  <c:v>349.71428571428589</c:v>
                </c:pt>
                <c:pt idx="18">
                  <c:v>370.28571428571433</c:v>
                </c:pt>
                <c:pt idx="19">
                  <c:v>390.85714285714317</c:v>
                </c:pt>
                <c:pt idx="20">
                  <c:v>411.42857142857162</c:v>
                </c:pt>
                <c:pt idx="21">
                  <c:v>432.00000000000028</c:v>
                </c:pt>
                <c:pt idx="22">
                  <c:v>452.57142857142873</c:v>
                </c:pt>
                <c:pt idx="23">
                  <c:v>473.14285714285745</c:v>
                </c:pt>
                <c:pt idx="24">
                  <c:v>493.71428571428589</c:v>
                </c:pt>
                <c:pt idx="25">
                  <c:v>514.28571428571433</c:v>
                </c:pt>
                <c:pt idx="26">
                  <c:v>534.857142857143</c:v>
                </c:pt>
                <c:pt idx="27">
                  <c:v>555.42857142857167</c:v>
                </c:pt>
                <c:pt idx="28">
                  <c:v>576.00000000000045</c:v>
                </c:pt>
                <c:pt idx="29">
                  <c:v>596.5714285714289</c:v>
                </c:pt>
                <c:pt idx="30">
                  <c:v>617.14285714285757</c:v>
                </c:pt>
                <c:pt idx="31">
                  <c:v>637.71428571428601</c:v>
                </c:pt>
                <c:pt idx="32">
                  <c:v>658.28571428571468</c:v>
                </c:pt>
                <c:pt idx="33">
                  <c:v>678.85714285714334</c:v>
                </c:pt>
                <c:pt idx="34">
                  <c:v>699.42857142857179</c:v>
                </c:pt>
                <c:pt idx="35">
                  <c:v>720.00000000000023</c:v>
                </c:pt>
                <c:pt idx="36">
                  <c:v>740.57142857142867</c:v>
                </c:pt>
                <c:pt idx="37">
                  <c:v>761.14285714285711</c:v>
                </c:pt>
                <c:pt idx="38">
                  <c:v>781.71428571428635</c:v>
                </c:pt>
                <c:pt idx="39">
                  <c:v>802.28571428571479</c:v>
                </c:pt>
                <c:pt idx="40">
                  <c:v>822.85714285714323</c:v>
                </c:pt>
                <c:pt idx="41">
                  <c:v>843.42857142857167</c:v>
                </c:pt>
                <c:pt idx="42">
                  <c:v>864.00000000000057</c:v>
                </c:pt>
                <c:pt idx="43">
                  <c:v>884.57142857142901</c:v>
                </c:pt>
                <c:pt idx="44">
                  <c:v>905.14285714285745</c:v>
                </c:pt>
                <c:pt idx="45">
                  <c:v>925.71428571428589</c:v>
                </c:pt>
                <c:pt idx="46">
                  <c:v>946.2857142857149</c:v>
                </c:pt>
                <c:pt idx="47">
                  <c:v>966.85714285714334</c:v>
                </c:pt>
                <c:pt idx="48">
                  <c:v>987.42857142857179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98816"/>
        <c:axId val="128049152"/>
      </c:scatterChart>
      <c:valAx>
        <c:axId val="636988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(psi)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8049152"/>
        <c:crosses val="autoZero"/>
        <c:crossBetween val="midCat"/>
      </c:valAx>
      <c:valAx>
        <c:axId val="12804915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69881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318601303869262"/>
          <c:y val="0.37224336541265679"/>
          <c:w val="0.21681390435951603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Surface Casing- Evacuated</a:t>
            </a:r>
            <a:r>
              <a:rPr lang="en-US" baseline="0"/>
              <a:t> Casing </a:t>
            </a:r>
            <a:r>
              <a:rPr lang="en-US"/>
              <a:t>Collapse</a:t>
            </a:r>
            <a:endParaRPr lang="en-US" baseline="0"/>
          </a:p>
        </c:rich>
      </c:tx>
      <c:layout>
        <c:manualLayout>
          <c:xMode val="edge"/>
          <c:yMode val="edge"/>
          <c:x val="0.11199944519130228"/>
          <c:y val="0.805555555555555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543243586487176"/>
          <c:y val="0.1723691309419656"/>
          <c:w val="0.56974282448564895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SurfaceCasingOutput!$AJ$2</c:f>
              <c:strCache>
                <c:ptCount val="1"/>
                <c:pt idx="0">
                  <c:v>Biaxial Collapse</c:v>
                </c:pt>
              </c:strCache>
            </c:strRef>
          </c:tx>
          <c:marker>
            <c:symbol val="none"/>
          </c:marker>
          <c:xVal>
            <c:numRef>
              <c:f>SurfaceCasingOutput!$AJ$3:$AJ$51</c:f>
              <c:numCache>
                <c:formatCode>General</c:formatCode>
                <c:ptCount val="49"/>
                <c:pt idx="0">
                  <c:v>2748.3001693206588</c:v>
                </c:pt>
                <c:pt idx="1">
                  <c:v>2752.6165663446341</c:v>
                </c:pt>
                <c:pt idx="2">
                  <c:v>2756.8893590427383</c:v>
                </c:pt>
                <c:pt idx="3">
                  <c:v>2761.118757833483</c:v>
                </c:pt>
                <c:pt idx="4">
                  <c:v>2765.3049704092177</c:v>
                </c:pt>
                <c:pt idx="5">
                  <c:v>2769.4482017291857</c:v>
                </c:pt>
                <c:pt idx="6">
                  <c:v>2773.5486540120041</c:v>
                </c:pt>
                <c:pt idx="7">
                  <c:v>2777.6065267275544</c:v>
                </c:pt>
                <c:pt idx="8">
                  <c:v>2781.6220165882942</c:v>
                </c:pt>
                <c:pt idx="9">
                  <c:v>2785.5953175399682</c:v>
                </c:pt>
                <c:pt idx="10">
                  <c:v>2789.526620751707</c:v>
                </c:pt>
                <c:pt idx="11">
                  <c:v>2793.4161146055089</c:v>
                </c:pt>
                <c:pt idx="12">
                  <c:v>2797.2639846850866</c:v>
                </c:pt>
                <c:pt idx="13">
                  <c:v>2801.0704137640764</c:v>
                </c:pt>
                <c:pt idx="14">
                  <c:v>2804.8355817935981</c:v>
                </c:pt>
                <c:pt idx="15">
                  <c:v>2808.5596658891382</c:v>
                </c:pt>
                <c:pt idx="16">
                  <c:v>2812.242840316766</c:v>
                </c:pt>
                <c:pt idx="17">
                  <c:v>2815.885276478647</c:v>
                </c:pt>
                <c:pt idx="18">
                  <c:v>2819.4871428978622</c:v>
                </c:pt>
                <c:pt idx="19">
                  <c:v>2823.0486052024953</c:v>
                </c:pt>
                <c:pt idx="20">
                  <c:v>2826.5698261089951</c:v>
                </c:pt>
                <c:pt idx="21">
                  <c:v>2830.0509654047778</c:v>
                </c:pt>
                <c:pt idx="22">
                  <c:v>2833.4921799300737</c:v>
                </c:pt>
                <c:pt idx="23">
                  <c:v>2836.8936235589763</c:v>
                </c:pt>
                <c:pt idx="24">
                  <c:v>2840.2554471796971</c:v>
                </c:pt>
                <c:pt idx="25">
                  <c:v>2843.5777986740095</c:v>
                </c:pt>
                <c:pt idx="26">
                  <c:v>2846.8608228958374</c:v>
                </c:pt>
                <c:pt idx="27">
                  <c:v>2850.1046616489953</c:v>
                </c:pt>
                <c:pt idx="28">
                  <c:v>2853.3094536640501</c:v>
                </c:pt>
                <c:pt idx="29">
                  <c:v>2856.4753345742806</c:v>
                </c:pt>
                <c:pt idx="30">
                  <c:v>2859.6024368907197</c:v>
                </c:pt>
                <c:pt idx="31">
                  <c:v>2862.690889976247</c:v>
                </c:pt>
                <c:pt idx="32">
                  <c:v>2865.7408200187183</c:v>
                </c:pt>
                <c:pt idx="33">
                  <c:v>2868.7523500030998</c:v>
                </c:pt>
                <c:pt idx="34">
                  <c:v>2871.7255996825829</c:v>
                </c:pt>
                <c:pt idx="35">
                  <c:v>2874.6606855486662</c:v>
                </c:pt>
                <c:pt idx="36">
                  <c:v>2877.5577208001473</c:v>
                </c:pt>
                <c:pt idx="37">
                  <c:v>2880.4168153110295</c:v>
                </c:pt>
                <c:pt idx="38">
                  <c:v>2883.2380755972931</c:v>
                </c:pt>
                <c:pt idx="39">
                  <c:v>2886.0216047825111</c:v>
                </c:pt>
                <c:pt idx="40">
                  <c:v>2888.7675025622589</c:v>
                </c:pt>
                <c:pt idx="41">
                  <c:v>2891.4758651673196</c:v>
                </c:pt>
                <c:pt idx="42">
                  <c:v>2894.1467853256154</c:v>
                </c:pt>
                <c:pt idx="43">
                  <c:v>2896.7803522228432</c:v>
                </c:pt>
                <c:pt idx="44">
                  <c:v>2899.3766514617919</c:v>
                </c:pt>
                <c:pt idx="45">
                  <c:v>2901.9357650202687</c:v>
                </c:pt>
                <c:pt idx="46">
                  <c:v>2904.4577712076339</c:v>
                </c:pt>
                <c:pt idx="47">
                  <c:v>2906.9427446198729</c:v>
                </c:pt>
                <c:pt idx="48">
                  <c:v>2909.3907560931734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SurfaceCasingOutput!$AK$2</c:f>
              <c:strCache>
                <c:ptCount val="1"/>
                <c:pt idx="0">
                  <c:v>Collapse</c:v>
                </c:pt>
              </c:strCache>
            </c:strRef>
          </c:tx>
          <c:marker>
            <c:symbol val="none"/>
          </c:marker>
          <c:xVal>
            <c:numRef>
              <c:f>SurfaceCasingOutput!$AK$3:$AK$51</c:f>
              <c:numCache>
                <c:formatCode>General</c:formatCode>
                <c:ptCount val="49"/>
                <c:pt idx="0">
                  <c:v>0</c:v>
                </c:pt>
                <c:pt idx="1">
                  <c:v>55.428571428571423</c:v>
                </c:pt>
                <c:pt idx="2">
                  <c:v>110.85714285714285</c:v>
                </c:pt>
                <c:pt idx="3">
                  <c:v>166.28571428571428</c:v>
                </c:pt>
                <c:pt idx="4">
                  <c:v>221.71428571428569</c:v>
                </c:pt>
                <c:pt idx="5">
                  <c:v>277.14285714285717</c:v>
                </c:pt>
                <c:pt idx="6">
                  <c:v>332.57142857142856</c:v>
                </c:pt>
                <c:pt idx="7">
                  <c:v>388</c:v>
                </c:pt>
                <c:pt idx="8">
                  <c:v>443.42857142857139</c:v>
                </c:pt>
                <c:pt idx="9">
                  <c:v>498.85714285714289</c:v>
                </c:pt>
                <c:pt idx="10">
                  <c:v>554.28571428571433</c:v>
                </c:pt>
                <c:pt idx="11">
                  <c:v>609.71428571428567</c:v>
                </c:pt>
                <c:pt idx="12">
                  <c:v>665.14285714285711</c:v>
                </c:pt>
                <c:pt idx="13">
                  <c:v>720.57142857142867</c:v>
                </c:pt>
                <c:pt idx="14">
                  <c:v>776</c:v>
                </c:pt>
                <c:pt idx="15">
                  <c:v>831.42857142857144</c:v>
                </c:pt>
                <c:pt idx="16">
                  <c:v>886.85714285714278</c:v>
                </c:pt>
                <c:pt idx="17">
                  <c:v>942.28571428571422</c:v>
                </c:pt>
                <c:pt idx="18">
                  <c:v>997.71428571428578</c:v>
                </c:pt>
                <c:pt idx="19">
                  <c:v>1053.1428571428571</c:v>
                </c:pt>
                <c:pt idx="20">
                  <c:v>1108.5714285714287</c:v>
                </c:pt>
                <c:pt idx="21">
                  <c:v>1164</c:v>
                </c:pt>
                <c:pt idx="22">
                  <c:v>1219.4285714285713</c:v>
                </c:pt>
                <c:pt idx="23">
                  <c:v>1274.8571428571429</c:v>
                </c:pt>
                <c:pt idx="24">
                  <c:v>1330.2857142857142</c:v>
                </c:pt>
                <c:pt idx="25">
                  <c:v>1385.7142857142858</c:v>
                </c:pt>
                <c:pt idx="26">
                  <c:v>1441.1428571428573</c:v>
                </c:pt>
                <c:pt idx="27">
                  <c:v>1496.5714285714284</c:v>
                </c:pt>
                <c:pt idx="28">
                  <c:v>1552</c:v>
                </c:pt>
                <c:pt idx="29">
                  <c:v>1607.4285714285713</c:v>
                </c:pt>
                <c:pt idx="30">
                  <c:v>1662.8571428571429</c:v>
                </c:pt>
                <c:pt idx="31">
                  <c:v>1718.2857142857144</c:v>
                </c:pt>
                <c:pt idx="32">
                  <c:v>1773.7142857142856</c:v>
                </c:pt>
                <c:pt idx="33">
                  <c:v>1829.1428571428571</c:v>
                </c:pt>
                <c:pt idx="34">
                  <c:v>1884.5714285714284</c:v>
                </c:pt>
                <c:pt idx="35">
                  <c:v>1940</c:v>
                </c:pt>
                <c:pt idx="36">
                  <c:v>1995.4285714285716</c:v>
                </c:pt>
                <c:pt idx="37">
                  <c:v>2050.8571428571431</c:v>
                </c:pt>
                <c:pt idx="38">
                  <c:v>2106.2857142857142</c:v>
                </c:pt>
                <c:pt idx="39">
                  <c:v>2161.7142857142858</c:v>
                </c:pt>
                <c:pt idx="40">
                  <c:v>2217.1428571428573</c:v>
                </c:pt>
                <c:pt idx="41">
                  <c:v>2272.5714285714284</c:v>
                </c:pt>
                <c:pt idx="42">
                  <c:v>2328</c:v>
                </c:pt>
                <c:pt idx="43">
                  <c:v>2383.4285714285711</c:v>
                </c:pt>
                <c:pt idx="44">
                  <c:v>2438.8571428571427</c:v>
                </c:pt>
                <c:pt idx="45">
                  <c:v>2494.2857142857142</c:v>
                </c:pt>
                <c:pt idx="46">
                  <c:v>2549.7142857142858</c:v>
                </c:pt>
                <c:pt idx="47">
                  <c:v>2605.1428571428573</c:v>
                </c:pt>
                <c:pt idx="48">
                  <c:v>2660.5714285714284</c:v>
                </c:pt>
              </c:numCache>
            </c:numRef>
          </c:xVal>
          <c:yVal>
            <c:numRef>
              <c:f>SurfaceCasingOutput!$A$3:$A$51</c:f>
              <c:numCache>
                <c:formatCode>General</c:formatCode>
                <c:ptCount val="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69920"/>
        <c:axId val="173576192"/>
      </c:scatterChart>
      <c:valAx>
        <c:axId val="17356992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(psi)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3576192"/>
        <c:crosses val="autoZero"/>
        <c:crossBetween val="midCat"/>
      </c:valAx>
      <c:valAx>
        <c:axId val="17357619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356992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318601303869262"/>
          <c:y val="0.37224336541265679"/>
          <c:w val="0.21681390435951603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Intermediate Casing- Pressure Testing</a:t>
            </a:r>
          </a:p>
        </c:rich>
      </c:tx>
      <c:layout>
        <c:manualLayout>
          <c:xMode val="edge"/>
          <c:yMode val="edge"/>
          <c:x val="8.1034776902887143E-2"/>
          <c:y val="0.8703703703703703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12661854768154"/>
          <c:y val="0.18530876348789738"/>
          <c:w val="0.5398727034120735"/>
          <c:h val="0.689216608340624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IntermediateOutput!$B$2</c:f>
              <c:strCache>
                <c:ptCount val="1"/>
                <c:pt idx="0">
                  <c:v>Pipe Tens. Strength</c:v>
                </c:pt>
              </c:strCache>
            </c:strRef>
          </c:tx>
          <c:marker>
            <c:symbol val="none"/>
          </c:marker>
          <c:xVal>
            <c:numRef>
              <c:f>IntermediateOutput!$B$3:$B$87</c:f>
              <c:numCache>
                <c:formatCode>General</c:formatCode>
                <c:ptCount val="85"/>
                <c:pt idx="0">
                  <c:v>602000</c:v>
                </c:pt>
                <c:pt idx="1">
                  <c:v>602000</c:v>
                </c:pt>
                <c:pt idx="2">
                  <c:v>602000</c:v>
                </c:pt>
                <c:pt idx="3">
                  <c:v>602000</c:v>
                </c:pt>
                <c:pt idx="4">
                  <c:v>602000</c:v>
                </c:pt>
                <c:pt idx="5">
                  <c:v>602000</c:v>
                </c:pt>
                <c:pt idx="6">
                  <c:v>555000</c:v>
                </c:pt>
                <c:pt idx="7">
                  <c:v>555000</c:v>
                </c:pt>
                <c:pt idx="8">
                  <c:v>555000</c:v>
                </c:pt>
                <c:pt idx="9">
                  <c:v>555000</c:v>
                </c:pt>
                <c:pt idx="10">
                  <c:v>555000</c:v>
                </c:pt>
                <c:pt idx="11">
                  <c:v>555000</c:v>
                </c:pt>
                <c:pt idx="12">
                  <c:v>555000</c:v>
                </c:pt>
                <c:pt idx="13">
                  <c:v>555000</c:v>
                </c:pt>
                <c:pt idx="14">
                  <c:v>555000</c:v>
                </c:pt>
                <c:pt idx="15">
                  <c:v>555000</c:v>
                </c:pt>
                <c:pt idx="16">
                  <c:v>555000</c:v>
                </c:pt>
                <c:pt idx="17">
                  <c:v>555000</c:v>
                </c:pt>
                <c:pt idx="18">
                  <c:v>555000</c:v>
                </c:pt>
                <c:pt idx="19">
                  <c:v>555000</c:v>
                </c:pt>
                <c:pt idx="20">
                  <c:v>555000</c:v>
                </c:pt>
                <c:pt idx="21">
                  <c:v>555000</c:v>
                </c:pt>
                <c:pt idx="22">
                  <c:v>555000</c:v>
                </c:pt>
                <c:pt idx="23">
                  <c:v>555000</c:v>
                </c:pt>
                <c:pt idx="24">
                  <c:v>555000</c:v>
                </c:pt>
                <c:pt idx="25">
                  <c:v>555000</c:v>
                </c:pt>
                <c:pt idx="26">
                  <c:v>555000</c:v>
                </c:pt>
                <c:pt idx="27">
                  <c:v>555000</c:v>
                </c:pt>
                <c:pt idx="28">
                  <c:v>555000</c:v>
                </c:pt>
                <c:pt idx="29">
                  <c:v>555000</c:v>
                </c:pt>
                <c:pt idx="30">
                  <c:v>555000</c:v>
                </c:pt>
                <c:pt idx="31">
                  <c:v>555000</c:v>
                </c:pt>
                <c:pt idx="32">
                  <c:v>555000</c:v>
                </c:pt>
                <c:pt idx="33">
                  <c:v>555000</c:v>
                </c:pt>
                <c:pt idx="34">
                  <c:v>555000</c:v>
                </c:pt>
                <c:pt idx="35">
                  <c:v>555000</c:v>
                </c:pt>
                <c:pt idx="36">
                  <c:v>555000</c:v>
                </c:pt>
                <c:pt idx="37">
                  <c:v>555000</c:v>
                </c:pt>
                <c:pt idx="38">
                  <c:v>555000</c:v>
                </c:pt>
                <c:pt idx="39">
                  <c:v>555000</c:v>
                </c:pt>
                <c:pt idx="40">
                  <c:v>555000</c:v>
                </c:pt>
                <c:pt idx="41">
                  <c:v>555000</c:v>
                </c:pt>
                <c:pt idx="42">
                  <c:v>555000</c:v>
                </c:pt>
                <c:pt idx="43">
                  <c:v>555000</c:v>
                </c:pt>
                <c:pt idx="44">
                  <c:v>555000</c:v>
                </c:pt>
                <c:pt idx="45">
                  <c:v>555000</c:v>
                </c:pt>
                <c:pt idx="46">
                  <c:v>555000</c:v>
                </c:pt>
                <c:pt idx="47">
                  <c:v>555000</c:v>
                </c:pt>
                <c:pt idx="48">
                  <c:v>555000</c:v>
                </c:pt>
                <c:pt idx="49">
                  <c:v>555000</c:v>
                </c:pt>
                <c:pt idx="50">
                  <c:v>555000</c:v>
                </c:pt>
                <c:pt idx="51">
                  <c:v>555000</c:v>
                </c:pt>
                <c:pt idx="52">
                  <c:v>555000</c:v>
                </c:pt>
                <c:pt idx="53">
                  <c:v>555000</c:v>
                </c:pt>
                <c:pt idx="54">
                  <c:v>555000</c:v>
                </c:pt>
                <c:pt idx="55">
                  <c:v>555000</c:v>
                </c:pt>
                <c:pt idx="56">
                  <c:v>555000</c:v>
                </c:pt>
                <c:pt idx="57">
                  <c:v>555000</c:v>
                </c:pt>
                <c:pt idx="58">
                  <c:v>555000</c:v>
                </c:pt>
                <c:pt idx="59">
                  <c:v>555000</c:v>
                </c:pt>
                <c:pt idx="60">
                  <c:v>555000</c:v>
                </c:pt>
                <c:pt idx="61">
                  <c:v>555000</c:v>
                </c:pt>
                <c:pt idx="62">
                  <c:v>555000</c:v>
                </c:pt>
                <c:pt idx="63">
                  <c:v>555000</c:v>
                </c:pt>
                <c:pt idx="64">
                  <c:v>555000</c:v>
                </c:pt>
                <c:pt idx="65">
                  <c:v>555000</c:v>
                </c:pt>
                <c:pt idx="66">
                  <c:v>555000</c:v>
                </c:pt>
                <c:pt idx="67">
                  <c:v>555000</c:v>
                </c:pt>
                <c:pt idx="68">
                  <c:v>555000</c:v>
                </c:pt>
                <c:pt idx="69">
                  <c:v>555000</c:v>
                </c:pt>
                <c:pt idx="70">
                  <c:v>555000</c:v>
                </c:pt>
                <c:pt idx="71">
                  <c:v>683000</c:v>
                </c:pt>
                <c:pt idx="72">
                  <c:v>683000</c:v>
                </c:pt>
                <c:pt idx="73">
                  <c:v>683000</c:v>
                </c:pt>
                <c:pt idx="74">
                  <c:v>683000</c:v>
                </c:pt>
                <c:pt idx="75">
                  <c:v>683000</c:v>
                </c:pt>
                <c:pt idx="76">
                  <c:v>683000</c:v>
                </c:pt>
                <c:pt idx="77">
                  <c:v>683000</c:v>
                </c:pt>
                <c:pt idx="78">
                  <c:v>683000</c:v>
                </c:pt>
                <c:pt idx="79">
                  <c:v>683000</c:v>
                </c:pt>
                <c:pt idx="80">
                  <c:v>683000</c:v>
                </c:pt>
                <c:pt idx="81">
                  <c:v>683000</c:v>
                </c:pt>
                <c:pt idx="82">
                  <c:v>683000</c:v>
                </c:pt>
                <c:pt idx="83">
                  <c:v>683000</c:v>
                </c:pt>
                <c:pt idx="84">
                  <c:v>683000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IntermediateOutput!$C$2</c:f>
              <c:strCache>
                <c:ptCount val="1"/>
                <c:pt idx="0">
                  <c:v>Pipe Tensile</c:v>
                </c:pt>
              </c:strCache>
            </c:strRef>
          </c:tx>
          <c:marker>
            <c:symbol val="none"/>
          </c:marker>
          <c:xVal>
            <c:numRef>
              <c:f>IntermediateOutput!$C$3:$C$87</c:f>
              <c:numCache>
                <c:formatCode>General</c:formatCode>
                <c:ptCount val="85"/>
                <c:pt idx="0">
                  <c:v>539738.99359432096</c:v>
                </c:pt>
                <c:pt idx="1">
                  <c:v>535778.99359432096</c:v>
                </c:pt>
                <c:pt idx="2">
                  <c:v>531818.99359432096</c:v>
                </c:pt>
                <c:pt idx="3">
                  <c:v>527858.99359432096</c:v>
                </c:pt>
                <c:pt idx="4">
                  <c:v>523898.99359432101</c:v>
                </c:pt>
                <c:pt idx="5">
                  <c:v>519938.99359432101</c:v>
                </c:pt>
                <c:pt idx="6">
                  <c:v>508901.61725829978</c:v>
                </c:pt>
                <c:pt idx="7">
                  <c:v>504446.61725829978</c:v>
                </c:pt>
                <c:pt idx="8">
                  <c:v>499991.61725829978</c:v>
                </c:pt>
                <c:pt idx="9">
                  <c:v>495536.61725829978</c:v>
                </c:pt>
                <c:pt idx="10">
                  <c:v>491081.61725829978</c:v>
                </c:pt>
                <c:pt idx="11">
                  <c:v>486626.61725829978</c:v>
                </c:pt>
                <c:pt idx="12">
                  <c:v>482171.61725829978</c:v>
                </c:pt>
                <c:pt idx="13">
                  <c:v>477716.61725829978</c:v>
                </c:pt>
                <c:pt idx="14">
                  <c:v>473261.61725829978</c:v>
                </c:pt>
                <c:pt idx="15">
                  <c:v>468806.61725829978</c:v>
                </c:pt>
                <c:pt idx="16">
                  <c:v>464351.61725829978</c:v>
                </c:pt>
                <c:pt idx="17">
                  <c:v>459896.61725829978</c:v>
                </c:pt>
                <c:pt idx="18">
                  <c:v>455441.61725829978</c:v>
                </c:pt>
                <c:pt idx="19">
                  <c:v>450986.61725829978</c:v>
                </c:pt>
                <c:pt idx="20">
                  <c:v>446531.61725829978</c:v>
                </c:pt>
                <c:pt idx="21">
                  <c:v>442076.61725829978</c:v>
                </c:pt>
                <c:pt idx="22">
                  <c:v>437621.61725829978</c:v>
                </c:pt>
                <c:pt idx="23">
                  <c:v>433166.61725829978</c:v>
                </c:pt>
                <c:pt idx="24">
                  <c:v>428711.61725829978</c:v>
                </c:pt>
                <c:pt idx="25">
                  <c:v>424256.61725829978</c:v>
                </c:pt>
                <c:pt idx="26">
                  <c:v>419801.61725829978</c:v>
                </c:pt>
                <c:pt idx="27">
                  <c:v>415346.61725829978</c:v>
                </c:pt>
                <c:pt idx="28">
                  <c:v>410891.61725829978</c:v>
                </c:pt>
                <c:pt idx="29">
                  <c:v>406436.61725829978</c:v>
                </c:pt>
                <c:pt idx="30">
                  <c:v>401981.61725829978</c:v>
                </c:pt>
                <c:pt idx="31">
                  <c:v>397526.61725829978</c:v>
                </c:pt>
                <c:pt idx="32">
                  <c:v>393071.61725829978</c:v>
                </c:pt>
                <c:pt idx="33">
                  <c:v>388616.61725829978</c:v>
                </c:pt>
                <c:pt idx="34">
                  <c:v>384161.61725829978</c:v>
                </c:pt>
                <c:pt idx="35">
                  <c:v>379706.61725829978</c:v>
                </c:pt>
                <c:pt idx="36">
                  <c:v>375251.61725829978</c:v>
                </c:pt>
                <c:pt idx="37">
                  <c:v>370796.61725829978</c:v>
                </c:pt>
                <c:pt idx="38">
                  <c:v>366341.61725829978</c:v>
                </c:pt>
                <c:pt idx="39">
                  <c:v>361886.61725829978</c:v>
                </c:pt>
                <c:pt idx="40">
                  <c:v>357431.61725829978</c:v>
                </c:pt>
                <c:pt idx="41">
                  <c:v>352976.61725829978</c:v>
                </c:pt>
                <c:pt idx="42">
                  <c:v>348521.61725829978</c:v>
                </c:pt>
                <c:pt idx="43">
                  <c:v>344066.61725829978</c:v>
                </c:pt>
                <c:pt idx="44">
                  <c:v>339611.61725829978</c:v>
                </c:pt>
                <c:pt idx="45">
                  <c:v>335156.61725829978</c:v>
                </c:pt>
                <c:pt idx="46">
                  <c:v>330701.61725829978</c:v>
                </c:pt>
                <c:pt idx="47">
                  <c:v>326246.61725829978</c:v>
                </c:pt>
                <c:pt idx="48">
                  <c:v>321791.61725829978</c:v>
                </c:pt>
                <c:pt idx="49">
                  <c:v>317336.61725829978</c:v>
                </c:pt>
                <c:pt idx="50">
                  <c:v>312881.61725829978</c:v>
                </c:pt>
                <c:pt idx="51">
                  <c:v>308426.61725829978</c:v>
                </c:pt>
                <c:pt idx="52">
                  <c:v>303971.61725829978</c:v>
                </c:pt>
                <c:pt idx="53">
                  <c:v>299516.61725829978</c:v>
                </c:pt>
                <c:pt idx="54">
                  <c:v>295061.61725829978</c:v>
                </c:pt>
                <c:pt idx="55">
                  <c:v>290606.61725829978</c:v>
                </c:pt>
                <c:pt idx="56">
                  <c:v>286151.61725829978</c:v>
                </c:pt>
                <c:pt idx="57">
                  <c:v>281696.61725829978</c:v>
                </c:pt>
                <c:pt idx="58">
                  <c:v>277241.61725829978</c:v>
                </c:pt>
                <c:pt idx="59">
                  <c:v>272786.61725829978</c:v>
                </c:pt>
                <c:pt idx="60">
                  <c:v>268331.61725829978</c:v>
                </c:pt>
                <c:pt idx="61">
                  <c:v>263876.61725829978</c:v>
                </c:pt>
                <c:pt idx="62">
                  <c:v>259421.61725829978</c:v>
                </c:pt>
                <c:pt idx="63">
                  <c:v>254966.61725829978</c:v>
                </c:pt>
                <c:pt idx="64">
                  <c:v>250511.61725829978</c:v>
                </c:pt>
                <c:pt idx="65">
                  <c:v>246056.61725829978</c:v>
                </c:pt>
                <c:pt idx="66">
                  <c:v>241601.61725829978</c:v>
                </c:pt>
                <c:pt idx="67">
                  <c:v>237146.61725829978</c:v>
                </c:pt>
                <c:pt idx="68">
                  <c:v>232691.61725829978</c:v>
                </c:pt>
                <c:pt idx="69">
                  <c:v>228236.61725829978</c:v>
                </c:pt>
                <c:pt idx="70">
                  <c:v>223781.61725829978</c:v>
                </c:pt>
                <c:pt idx="71">
                  <c:v>219326.61725829978</c:v>
                </c:pt>
                <c:pt idx="72">
                  <c:v>214871.61725829978</c:v>
                </c:pt>
                <c:pt idx="73">
                  <c:v>210416.61725829978</c:v>
                </c:pt>
                <c:pt idx="74">
                  <c:v>205961.61725829978</c:v>
                </c:pt>
                <c:pt idx="75">
                  <c:v>201506.61725829978</c:v>
                </c:pt>
                <c:pt idx="76">
                  <c:v>197051.61725829978</c:v>
                </c:pt>
                <c:pt idx="77">
                  <c:v>192596.61725829981</c:v>
                </c:pt>
                <c:pt idx="78">
                  <c:v>188141.61725829981</c:v>
                </c:pt>
                <c:pt idx="79">
                  <c:v>183686.61725829981</c:v>
                </c:pt>
                <c:pt idx="80">
                  <c:v>179231.61725829981</c:v>
                </c:pt>
                <c:pt idx="81">
                  <c:v>174776.61725829981</c:v>
                </c:pt>
                <c:pt idx="82">
                  <c:v>170321.61725829981</c:v>
                </c:pt>
                <c:pt idx="83">
                  <c:v>165866.61725829981</c:v>
                </c:pt>
                <c:pt idx="84">
                  <c:v>161411.61725829981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IntermediateOutput!$D$2</c:f>
              <c:strCache>
                <c:ptCount val="1"/>
                <c:pt idx="0">
                  <c:v>Joint Tens. Strength</c:v>
                </c:pt>
              </c:strCache>
            </c:strRef>
          </c:tx>
          <c:marker>
            <c:symbol val="none"/>
          </c:marker>
          <c:xVal>
            <c:numRef>
              <c:f>IntermediateOutput!$D$3:$D$87</c:f>
              <c:numCache>
                <c:formatCode>General</c:formatCode>
                <c:ptCount val="85"/>
                <c:pt idx="0">
                  <c:v>659000</c:v>
                </c:pt>
                <c:pt idx="1">
                  <c:v>659000</c:v>
                </c:pt>
                <c:pt idx="2">
                  <c:v>659000</c:v>
                </c:pt>
                <c:pt idx="3">
                  <c:v>659000</c:v>
                </c:pt>
                <c:pt idx="4">
                  <c:v>659000</c:v>
                </c:pt>
                <c:pt idx="5">
                  <c:v>659000</c:v>
                </c:pt>
                <c:pt idx="6">
                  <c:v>629000</c:v>
                </c:pt>
                <c:pt idx="7">
                  <c:v>629000</c:v>
                </c:pt>
                <c:pt idx="8">
                  <c:v>629000</c:v>
                </c:pt>
                <c:pt idx="9">
                  <c:v>629000</c:v>
                </c:pt>
                <c:pt idx="10">
                  <c:v>629000</c:v>
                </c:pt>
                <c:pt idx="11">
                  <c:v>629000</c:v>
                </c:pt>
                <c:pt idx="12">
                  <c:v>629000</c:v>
                </c:pt>
                <c:pt idx="13">
                  <c:v>629000</c:v>
                </c:pt>
                <c:pt idx="14">
                  <c:v>629000</c:v>
                </c:pt>
                <c:pt idx="15">
                  <c:v>629000</c:v>
                </c:pt>
                <c:pt idx="16">
                  <c:v>629000</c:v>
                </c:pt>
                <c:pt idx="17">
                  <c:v>629000</c:v>
                </c:pt>
                <c:pt idx="18">
                  <c:v>629000</c:v>
                </c:pt>
                <c:pt idx="19">
                  <c:v>629000</c:v>
                </c:pt>
                <c:pt idx="20">
                  <c:v>629000</c:v>
                </c:pt>
                <c:pt idx="21">
                  <c:v>629000</c:v>
                </c:pt>
                <c:pt idx="22">
                  <c:v>629000</c:v>
                </c:pt>
                <c:pt idx="23">
                  <c:v>629000</c:v>
                </c:pt>
                <c:pt idx="24">
                  <c:v>629000</c:v>
                </c:pt>
                <c:pt idx="25">
                  <c:v>629000</c:v>
                </c:pt>
                <c:pt idx="26">
                  <c:v>629000</c:v>
                </c:pt>
                <c:pt idx="27">
                  <c:v>629000</c:v>
                </c:pt>
                <c:pt idx="28">
                  <c:v>629000</c:v>
                </c:pt>
                <c:pt idx="29">
                  <c:v>629000</c:v>
                </c:pt>
                <c:pt idx="30">
                  <c:v>629000</c:v>
                </c:pt>
                <c:pt idx="31">
                  <c:v>629000</c:v>
                </c:pt>
                <c:pt idx="32">
                  <c:v>629000</c:v>
                </c:pt>
                <c:pt idx="33">
                  <c:v>629000</c:v>
                </c:pt>
                <c:pt idx="34">
                  <c:v>629000</c:v>
                </c:pt>
                <c:pt idx="35">
                  <c:v>629000</c:v>
                </c:pt>
                <c:pt idx="36">
                  <c:v>629000</c:v>
                </c:pt>
                <c:pt idx="37">
                  <c:v>629000</c:v>
                </c:pt>
                <c:pt idx="38">
                  <c:v>629000</c:v>
                </c:pt>
                <c:pt idx="39">
                  <c:v>629000</c:v>
                </c:pt>
                <c:pt idx="40">
                  <c:v>629000</c:v>
                </c:pt>
                <c:pt idx="41">
                  <c:v>629000</c:v>
                </c:pt>
                <c:pt idx="42">
                  <c:v>629000</c:v>
                </c:pt>
                <c:pt idx="43">
                  <c:v>629000</c:v>
                </c:pt>
                <c:pt idx="44">
                  <c:v>629000</c:v>
                </c:pt>
                <c:pt idx="45">
                  <c:v>629000</c:v>
                </c:pt>
                <c:pt idx="46">
                  <c:v>629000</c:v>
                </c:pt>
                <c:pt idx="47">
                  <c:v>629000</c:v>
                </c:pt>
                <c:pt idx="48">
                  <c:v>629000</c:v>
                </c:pt>
                <c:pt idx="49">
                  <c:v>629000</c:v>
                </c:pt>
                <c:pt idx="50">
                  <c:v>629000</c:v>
                </c:pt>
                <c:pt idx="51">
                  <c:v>629000</c:v>
                </c:pt>
                <c:pt idx="52">
                  <c:v>629000</c:v>
                </c:pt>
                <c:pt idx="53">
                  <c:v>629000</c:v>
                </c:pt>
                <c:pt idx="54">
                  <c:v>629000</c:v>
                </c:pt>
                <c:pt idx="55">
                  <c:v>629000</c:v>
                </c:pt>
                <c:pt idx="56">
                  <c:v>629000</c:v>
                </c:pt>
                <c:pt idx="57">
                  <c:v>629000</c:v>
                </c:pt>
                <c:pt idx="58">
                  <c:v>629000</c:v>
                </c:pt>
                <c:pt idx="59">
                  <c:v>629000</c:v>
                </c:pt>
                <c:pt idx="60">
                  <c:v>629000</c:v>
                </c:pt>
                <c:pt idx="61">
                  <c:v>629000</c:v>
                </c:pt>
                <c:pt idx="62">
                  <c:v>629000</c:v>
                </c:pt>
                <c:pt idx="63">
                  <c:v>629000</c:v>
                </c:pt>
                <c:pt idx="64">
                  <c:v>629000</c:v>
                </c:pt>
                <c:pt idx="65">
                  <c:v>629000</c:v>
                </c:pt>
                <c:pt idx="66">
                  <c:v>629000</c:v>
                </c:pt>
                <c:pt idx="67">
                  <c:v>629000</c:v>
                </c:pt>
                <c:pt idx="68">
                  <c:v>629000</c:v>
                </c:pt>
                <c:pt idx="69">
                  <c:v>629000</c:v>
                </c:pt>
                <c:pt idx="70">
                  <c:v>629000</c:v>
                </c:pt>
                <c:pt idx="71">
                  <c:v>749000</c:v>
                </c:pt>
                <c:pt idx="72">
                  <c:v>749000</c:v>
                </c:pt>
                <c:pt idx="73">
                  <c:v>749000</c:v>
                </c:pt>
                <c:pt idx="74">
                  <c:v>749000</c:v>
                </c:pt>
                <c:pt idx="75">
                  <c:v>749000</c:v>
                </c:pt>
                <c:pt idx="76">
                  <c:v>749000</c:v>
                </c:pt>
                <c:pt idx="77">
                  <c:v>749000</c:v>
                </c:pt>
                <c:pt idx="78">
                  <c:v>749000</c:v>
                </c:pt>
                <c:pt idx="79">
                  <c:v>749000</c:v>
                </c:pt>
                <c:pt idx="80">
                  <c:v>749000</c:v>
                </c:pt>
                <c:pt idx="81">
                  <c:v>749000</c:v>
                </c:pt>
                <c:pt idx="82">
                  <c:v>749000</c:v>
                </c:pt>
                <c:pt idx="83">
                  <c:v>749000</c:v>
                </c:pt>
                <c:pt idx="84">
                  <c:v>749000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IntermediateOutput!$E$2</c:f>
              <c:strCache>
                <c:ptCount val="1"/>
                <c:pt idx="0">
                  <c:v>Joint Tensile</c:v>
                </c:pt>
              </c:strCache>
            </c:strRef>
          </c:tx>
          <c:marker>
            <c:symbol val="none"/>
          </c:marker>
          <c:xVal>
            <c:numRef>
              <c:f>IntermediateOutput!$E$3:$E$87</c:f>
              <c:numCache>
                <c:formatCode>General</c:formatCode>
                <c:ptCount val="85"/>
                <c:pt idx="0">
                  <c:v>647686.79231318529</c:v>
                </c:pt>
                <c:pt idx="1">
                  <c:v>642934.79231318529</c:v>
                </c:pt>
                <c:pt idx="2">
                  <c:v>638182.79231318529</c:v>
                </c:pt>
                <c:pt idx="3">
                  <c:v>633430.79231318529</c:v>
                </c:pt>
                <c:pt idx="4">
                  <c:v>628678.79231318529</c:v>
                </c:pt>
                <c:pt idx="5">
                  <c:v>623926.79231318529</c:v>
                </c:pt>
                <c:pt idx="6">
                  <c:v>610681.94070995972</c:v>
                </c:pt>
                <c:pt idx="7">
                  <c:v>605335.94070995972</c:v>
                </c:pt>
                <c:pt idx="8">
                  <c:v>599989.94070995972</c:v>
                </c:pt>
                <c:pt idx="9">
                  <c:v>594643.94070995972</c:v>
                </c:pt>
                <c:pt idx="10">
                  <c:v>589297.94070995972</c:v>
                </c:pt>
                <c:pt idx="11">
                  <c:v>583951.94070995972</c:v>
                </c:pt>
                <c:pt idx="12">
                  <c:v>578605.94070995972</c:v>
                </c:pt>
                <c:pt idx="13">
                  <c:v>573259.94070995972</c:v>
                </c:pt>
                <c:pt idx="14">
                  <c:v>567913.94070995972</c:v>
                </c:pt>
                <c:pt idx="15">
                  <c:v>562567.94070995972</c:v>
                </c:pt>
                <c:pt idx="16">
                  <c:v>557221.94070995972</c:v>
                </c:pt>
                <c:pt idx="17">
                  <c:v>551875.94070995972</c:v>
                </c:pt>
                <c:pt idx="18">
                  <c:v>546529.94070995972</c:v>
                </c:pt>
                <c:pt idx="19">
                  <c:v>541183.94070995972</c:v>
                </c:pt>
                <c:pt idx="20">
                  <c:v>535837.94070995972</c:v>
                </c:pt>
                <c:pt idx="21">
                  <c:v>530491.94070995972</c:v>
                </c:pt>
                <c:pt idx="22">
                  <c:v>525145.94070995972</c:v>
                </c:pt>
                <c:pt idx="23">
                  <c:v>519799.94070995977</c:v>
                </c:pt>
                <c:pt idx="24">
                  <c:v>514453.94070995977</c:v>
                </c:pt>
                <c:pt idx="25">
                  <c:v>509107.94070995977</c:v>
                </c:pt>
                <c:pt idx="26">
                  <c:v>503761.94070995977</c:v>
                </c:pt>
                <c:pt idx="27">
                  <c:v>498415.94070995977</c:v>
                </c:pt>
                <c:pt idx="28">
                  <c:v>493069.94070995977</c:v>
                </c:pt>
                <c:pt idx="29">
                  <c:v>487723.94070995977</c:v>
                </c:pt>
                <c:pt idx="30">
                  <c:v>482377.94070995977</c:v>
                </c:pt>
                <c:pt idx="31">
                  <c:v>477031.94070995977</c:v>
                </c:pt>
                <c:pt idx="32">
                  <c:v>471685.94070995977</c:v>
                </c:pt>
                <c:pt idx="33">
                  <c:v>466339.94070995977</c:v>
                </c:pt>
                <c:pt idx="34">
                  <c:v>460993.94070995977</c:v>
                </c:pt>
                <c:pt idx="35">
                  <c:v>455647.94070995977</c:v>
                </c:pt>
                <c:pt idx="36">
                  <c:v>450301.94070995977</c:v>
                </c:pt>
                <c:pt idx="37">
                  <c:v>444955.94070995977</c:v>
                </c:pt>
                <c:pt idx="38">
                  <c:v>439609.94070995977</c:v>
                </c:pt>
                <c:pt idx="39">
                  <c:v>434263.94070995977</c:v>
                </c:pt>
                <c:pt idx="40">
                  <c:v>428917.94070995977</c:v>
                </c:pt>
                <c:pt idx="41">
                  <c:v>423571.94070995977</c:v>
                </c:pt>
                <c:pt idx="42">
                  <c:v>418225.94070995977</c:v>
                </c:pt>
                <c:pt idx="43">
                  <c:v>412879.94070995977</c:v>
                </c:pt>
                <c:pt idx="44">
                  <c:v>407533.94070995977</c:v>
                </c:pt>
                <c:pt idx="45">
                  <c:v>402187.94070995977</c:v>
                </c:pt>
                <c:pt idx="46">
                  <c:v>396841.94070995977</c:v>
                </c:pt>
                <c:pt idx="47">
                  <c:v>391495.94070995977</c:v>
                </c:pt>
                <c:pt idx="48">
                  <c:v>386149.94070995977</c:v>
                </c:pt>
                <c:pt idx="49">
                  <c:v>380803.94070995977</c:v>
                </c:pt>
                <c:pt idx="50">
                  <c:v>375457.94070995977</c:v>
                </c:pt>
                <c:pt idx="51">
                  <c:v>370111.94070995977</c:v>
                </c:pt>
                <c:pt idx="52">
                  <c:v>364765.94070995977</c:v>
                </c:pt>
                <c:pt idx="53">
                  <c:v>359419.94070995977</c:v>
                </c:pt>
                <c:pt idx="54">
                  <c:v>354073.94070995977</c:v>
                </c:pt>
                <c:pt idx="55">
                  <c:v>348727.94070995977</c:v>
                </c:pt>
                <c:pt idx="56">
                  <c:v>343381.94070995977</c:v>
                </c:pt>
                <c:pt idx="57">
                  <c:v>338035.94070995977</c:v>
                </c:pt>
                <c:pt idx="58">
                  <c:v>332689.94070995977</c:v>
                </c:pt>
                <c:pt idx="59">
                  <c:v>327343.94070995977</c:v>
                </c:pt>
                <c:pt idx="60">
                  <c:v>321997.94070995977</c:v>
                </c:pt>
                <c:pt idx="61">
                  <c:v>316651.94070995977</c:v>
                </c:pt>
                <c:pt idx="62">
                  <c:v>311305.94070995977</c:v>
                </c:pt>
                <c:pt idx="63">
                  <c:v>305959.94070995977</c:v>
                </c:pt>
                <c:pt idx="64">
                  <c:v>300613.94070995977</c:v>
                </c:pt>
                <c:pt idx="65">
                  <c:v>295267.94070995977</c:v>
                </c:pt>
                <c:pt idx="66">
                  <c:v>289921.94070995977</c:v>
                </c:pt>
                <c:pt idx="67">
                  <c:v>284575.94070995977</c:v>
                </c:pt>
                <c:pt idx="68">
                  <c:v>279229.94070995977</c:v>
                </c:pt>
                <c:pt idx="69">
                  <c:v>273883.94070995977</c:v>
                </c:pt>
                <c:pt idx="70">
                  <c:v>268537.94070995977</c:v>
                </c:pt>
                <c:pt idx="71">
                  <c:v>263191.94070995977</c:v>
                </c:pt>
                <c:pt idx="72">
                  <c:v>257845.94070995974</c:v>
                </c:pt>
                <c:pt idx="73">
                  <c:v>252499.94070995974</c:v>
                </c:pt>
                <c:pt idx="74">
                  <c:v>247153.94070995974</c:v>
                </c:pt>
                <c:pt idx="75">
                  <c:v>241807.94070995974</c:v>
                </c:pt>
                <c:pt idx="76">
                  <c:v>236461.94070995974</c:v>
                </c:pt>
                <c:pt idx="77">
                  <c:v>231115.94070995977</c:v>
                </c:pt>
                <c:pt idx="78">
                  <c:v>225769.94070995977</c:v>
                </c:pt>
                <c:pt idx="79">
                  <c:v>220423.94070995977</c:v>
                </c:pt>
                <c:pt idx="80">
                  <c:v>215077.94070995977</c:v>
                </c:pt>
                <c:pt idx="81">
                  <c:v>209731.94070995977</c:v>
                </c:pt>
                <c:pt idx="82">
                  <c:v>204385.94070995977</c:v>
                </c:pt>
                <c:pt idx="83">
                  <c:v>199039.94070995977</c:v>
                </c:pt>
                <c:pt idx="84">
                  <c:v>193693.94070995977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557952"/>
        <c:axId val="336564224"/>
      </c:scatterChart>
      <c:valAx>
        <c:axId val="33655795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564224"/>
        <c:crosses val="autoZero"/>
        <c:crossBetween val="midCat"/>
      </c:valAx>
      <c:valAx>
        <c:axId val="33656422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55795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Intermediate Casing- Running Mud</a:t>
            </a:r>
          </a:p>
        </c:rich>
      </c:tx>
      <c:layout>
        <c:manualLayout>
          <c:xMode val="edge"/>
          <c:yMode val="edge"/>
          <c:x val="8.1034776902887143E-2"/>
          <c:y val="0.8703703703703703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12661854768154"/>
          <c:y val="0.18530876348789738"/>
          <c:w val="0.5398727034120735"/>
          <c:h val="0.689216608340624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IntermediateOutput!$G$2</c:f>
              <c:strCache>
                <c:ptCount val="1"/>
                <c:pt idx="0">
                  <c:v>Pipe Tens. Strength</c:v>
                </c:pt>
              </c:strCache>
            </c:strRef>
          </c:tx>
          <c:marker>
            <c:symbol val="none"/>
          </c:marker>
          <c:xVal>
            <c:numRef>
              <c:f>IntermediateOutput!$G$3:$G$87</c:f>
              <c:numCache>
                <c:formatCode>General</c:formatCode>
                <c:ptCount val="85"/>
                <c:pt idx="0">
                  <c:v>602000</c:v>
                </c:pt>
                <c:pt idx="1">
                  <c:v>602000</c:v>
                </c:pt>
                <c:pt idx="2">
                  <c:v>602000</c:v>
                </c:pt>
                <c:pt idx="3">
                  <c:v>602000</c:v>
                </c:pt>
                <c:pt idx="4">
                  <c:v>602000</c:v>
                </c:pt>
                <c:pt idx="5">
                  <c:v>602000</c:v>
                </c:pt>
                <c:pt idx="6">
                  <c:v>555000</c:v>
                </c:pt>
                <c:pt idx="7">
                  <c:v>555000</c:v>
                </c:pt>
                <c:pt idx="8">
                  <c:v>555000</c:v>
                </c:pt>
                <c:pt idx="9">
                  <c:v>555000</c:v>
                </c:pt>
                <c:pt idx="10">
                  <c:v>555000</c:v>
                </c:pt>
                <c:pt idx="11">
                  <c:v>555000</c:v>
                </c:pt>
                <c:pt idx="12">
                  <c:v>555000</c:v>
                </c:pt>
                <c:pt idx="13">
                  <c:v>555000</c:v>
                </c:pt>
                <c:pt idx="14">
                  <c:v>555000</c:v>
                </c:pt>
                <c:pt idx="15">
                  <c:v>555000</c:v>
                </c:pt>
                <c:pt idx="16">
                  <c:v>555000</c:v>
                </c:pt>
                <c:pt idx="17">
                  <c:v>555000</c:v>
                </c:pt>
                <c:pt idx="18">
                  <c:v>555000</c:v>
                </c:pt>
                <c:pt idx="19">
                  <c:v>555000</c:v>
                </c:pt>
                <c:pt idx="20">
                  <c:v>555000</c:v>
                </c:pt>
                <c:pt idx="21">
                  <c:v>555000</c:v>
                </c:pt>
                <c:pt idx="22">
                  <c:v>555000</c:v>
                </c:pt>
                <c:pt idx="23">
                  <c:v>555000</c:v>
                </c:pt>
                <c:pt idx="24">
                  <c:v>555000</c:v>
                </c:pt>
                <c:pt idx="25">
                  <c:v>555000</c:v>
                </c:pt>
                <c:pt idx="26">
                  <c:v>555000</c:v>
                </c:pt>
                <c:pt idx="27">
                  <c:v>555000</c:v>
                </c:pt>
                <c:pt idx="28">
                  <c:v>555000</c:v>
                </c:pt>
                <c:pt idx="29">
                  <c:v>555000</c:v>
                </c:pt>
                <c:pt idx="30">
                  <c:v>555000</c:v>
                </c:pt>
                <c:pt idx="31">
                  <c:v>555000</c:v>
                </c:pt>
                <c:pt idx="32">
                  <c:v>555000</c:v>
                </c:pt>
                <c:pt idx="33">
                  <c:v>555000</c:v>
                </c:pt>
                <c:pt idx="34">
                  <c:v>555000</c:v>
                </c:pt>
                <c:pt idx="35">
                  <c:v>555000</c:v>
                </c:pt>
                <c:pt idx="36">
                  <c:v>555000</c:v>
                </c:pt>
                <c:pt idx="37">
                  <c:v>555000</c:v>
                </c:pt>
                <c:pt idx="38">
                  <c:v>555000</c:v>
                </c:pt>
                <c:pt idx="39">
                  <c:v>555000</c:v>
                </c:pt>
                <c:pt idx="40">
                  <c:v>555000</c:v>
                </c:pt>
                <c:pt idx="41">
                  <c:v>555000</c:v>
                </c:pt>
                <c:pt idx="42">
                  <c:v>555000</c:v>
                </c:pt>
                <c:pt idx="43">
                  <c:v>555000</c:v>
                </c:pt>
                <c:pt idx="44">
                  <c:v>555000</c:v>
                </c:pt>
                <c:pt idx="45">
                  <c:v>555000</c:v>
                </c:pt>
                <c:pt idx="46">
                  <c:v>555000</c:v>
                </c:pt>
                <c:pt idx="47">
                  <c:v>555000</c:v>
                </c:pt>
                <c:pt idx="48">
                  <c:v>555000</c:v>
                </c:pt>
                <c:pt idx="49">
                  <c:v>555000</c:v>
                </c:pt>
                <c:pt idx="50">
                  <c:v>555000</c:v>
                </c:pt>
                <c:pt idx="51">
                  <c:v>555000</c:v>
                </c:pt>
                <c:pt idx="52">
                  <c:v>555000</c:v>
                </c:pt>
                <c:pt idx="53">
                  <c:v>555000</c:v>
                </c:pt>
                <c:pt idx="54">
                  <c:v>555000</c:v>
                </c:pt>
                <c:pt idx="55">
                  <c:v>555000</c:v>
                </c:pt>
                <c:pt idx="56">
                  <c:v>555000</c:v>
                </c:pt>
                <c:pt idx="57">
                  <c:v>555000</c:v>
                </c:pt>
                <c:pt idx="58">
                  <c:v>555000</c:v>
                </c:pt>
                <c:pt idx="59">
                  <c:v>555000</c:v>
                </c:pt>
                <c:pt idx="60">
                  <c:v>555000</c:v>
                </c:pt>
                <c:pt idx="61">
                  <c:v>555000</c:v>
                </c:pt>
                <c:pt idx="62">
                  <c:v>555000</c:v>
                </c:pt>
                <c:pt idx="63">
                  <c:v>555000</c:v>
                </c:pt>
                <c:pt idx="64">
                  <c:v>555000</c:v>
                </c:pt>
                <c:pt idx="65">
                  <c:v>555000</c:v>
                </c:pt>
                <c:pt idx="66">
                  <c:v>555000</c:v>
                </c:pt>
                <c:pt idx="67">
                  <c:v>555000</c:v>
                </c:pt>
                <c:pt idx="68">
                  <c:v>555000</c:v>
                </c:pt>
                <c:pt idx="69">
                  <c:v>555000</c:v>
                </c:pt>
                <c:pt idx="70">
                  <c:v>555000</c:v>
                </c:pt>
                <c:pt idx="71">
                  <c:v>683000</c:v>
                </c:pt>
                <c:pt idx="72">
                  <c:v>683000</c:v>
                </c:pt>
                <c:pt idx="73">
                  <c:v>683000</c:v>
                </c:pt>
                <c:pt idx="74">
                  <c:v>683000</c:v>
                </c:pt>
                <c:pt idx="75">
                  <c:v>683000</c:v>
                </c:pt>
                <c:pt idx="76">
                  <c:v>683000</c:v>
                </c:pt>
                <c:pt idx="77">
                  <c:v>683000</c:v>
                </c:pt>
                <c:pt idx="78">
                  <c:v>683000</c:v>
                </c:pt>
                <c:pt idx="79">
                  <c:v>683000</c:v>
                </c:pt>
                <c:pt idx="80">
                  <c:v>683000</c:v>
                </c:pt>
                <c:pt idx="81">
                  <c:v>683000</c:v>
                </c:pt>
                <c:pt idx="82">
                  <c:v>683000</c:v>
                </c:pt>
                <c:pt idx="83">
                  <c:v>683000</c:v>
                </c:pt>
                <c:pt idx="84">
                  <c:v>683000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IntermediateOutput!$H$2</c:f>
              <c:strCache>
                <c:ptCount val="1"/>
                <c:pt idx="0">
                  <c:v>Pipe Tensile</c:v>
                </c:pt>
              </c:strCache>
            </c:strRef>
          </c:tx>
          <c:marker>
            <c:symbol val="none"/>
          </c:marker>
          <c:xVal>
            <c:numRef>
              <c:f>IntermediateOutput!$H$3:$H$87</c:f>
              <c:numCache>
                <c:formatCode>General</c:formatCode>
                <c:ptCount val="85"/>
                <c:pt idx="0">
                  <c:v>469807.08346382214</c:v>
                </c:pt>
                <c:pt idx="1">
                  <c:v>465847.08346382214</c:v>
                </c:pt>
                <c:pt idx="2">
                  <c:v>461887.08346382214</c:v>
                </c:pt>
                <c:pt idx="3">
                  <c:v>457927.08346382214</c:v>
                </c:pt>
                <c:pt idx="4">
                  <c:v>453967.08346382214</c:v>
                </c:pt>
                <c:pt idx="5">
                  <c:v>450007.08346382214</c:v>
                </c:pt>
                <c:pt idx="6">
                  <c:v>445165.82181554986</c:v>
                </c:pt>
                <c:pt idx="7">
                  <c:v>440710.82181554986</c:v>
                </c:pt>
                <c:pt idx="8">
                  <c:v>436255.82181554986</c:v>
                </c:pt>
                <c:pt idx="9">
                  <c:v>431800.82181554986</c:v>
                </c:pt>
                <c:pt idx="10">
                  <c:v>427345.82181554986</c:v>
                </c:pt>
                <c:pt idx="11">
                  <c:v>422890.82181554986</c:v>
                </c:pt>
                <c:pt idx="12">
                  <c:v>418435.82181554986</c:v>
                </c:pt>
                <c:pt idx="13">
                  <c:v>413980.82181554986</c:v>
                </c:pt>
                <c:pt idx="14">
                  <c:v>409525.82181554986</c:v>
                </c:pt>
                <c:pt idx="15">
                  <c:v>405070.82181554986</c:v>
                </c:pt>
                <c:pt idx="16">
                  <c:v>400615.82181554986</c:v>
                </c:pt>
                <c:pt idx="17">
                  <c:v>396160.82181554986</c:v>
                </c:pt>
                <c:pt idx="18">
                  <c:v>391705.82181554986</c:v>
                </c:pt>
                <c:pt idx="19">
                  <c:v>387250.82181554986</c:v>
                </c:pt>
                <c:pt idx="20">
                  <c:v>382795.82181554986</c:v>
                </c:pt>
                <c:pt idx="21">
                  <c:v>378340.82181554986</c:v>
                </c:pt>
                <c:pt idx="22">
                  <c:v>373885.82181554986</c:v>
                </c:pt>
                <c:pt idx="23">
                  <c:v>369430.82181554986</c:v>
                </c:pt>
                <c:pt idx="24">
                  <c:v>364975.82181554986</c:v>
                </c:pt>
                <c:pt idx="25">
                  <c:v>360520.82181554986</c:v>
                </c:pt>
                <c:pt idx="26">
                  <c:v>356065.82181554986</c:v>
                </c:pt>
                <c:pt idx="27">
                  <c:v>351610.82181554986</c:v>
                </c:pt>
                <c:pt idx="28">
                  <c:v>347155.82181554986</c:v>
                </c:pt>
                <c:pt idx="29">
                  <c:v>342700.82181554986</c:v>
                </c:pt>
                <c:pt idx="30">
                  <c:v>338245.82181554986</c:v>
                </c:pt>
                <c:pt idx="31">
                  <c:v>333790.82181554986</c:v>
                </c:pt>
                <c:pt idx="32">
                  <c:v>329335.82181554986</c:v>
                </c:pt>
                <c:pt idx="33">
                  <c:v>324880.82181554986</c:v>
                </c:pt>
                <c:pt idx="34">
                  <c:v>320425.82181554986</c:v>
                </c:pt>
                <c:pt idx="35">
                  <c:v>315970.82181554986</c:v>
                </c:pt>
                <c:pt idx="36">
                  <c:v>311515.82181554986</c:v>
                </c:pt>
                <c:pt idx="37">
                  <c:v>307060.82181554986</c:v>
                </c:pt>
                <c:pt idx="38">
                  <c:v>302605.82181554986</c:v>
                </c:pt>
                <c:pt idx="39">
                  <c:v>298150.82181554986</c:v>
                </c:pt>
                <c:pt idx="40">
                  <c:v>293695.82181554986</c:v>
                </c:pt>
                <c:pt idx="41">
                  <c:v>289240.82181554986</c:v>
                </c:pt>
                <c:pt idx="42">
                  <c:v>284785.82181554986</c:v>
                </c:pt>
                <c:pt idx="43">
                  <c:v>280330.82181554986</c:v>
                </c:pt>
                <c:pt idx="44">
                  <c:v>275875.82181554986</c:v>
                </c:pt>
                <c:pt idx="45">
                  <c:v>271420.82181554986</c:v>
                </c:pt>
                <c:pt idx="46">
                  <c:v>266965.82181554986</c:v>
                </c:pt>
                <c:pt idx="47">
                  <c:v>262510.82181554986</c:v>
                </c:pt>
                <c:pt idx="48">
                  <c:v>258055.82181554986</c:v>
                </c:pt>
                <c:pt idx="49">
                  <c:v>253600.82181554986</c:v>
                </c:pt>
                <c:pt idx="50">
                  <c:v>249145.82181554986</c:v>
                </c:pt>
                <c:pt idx="51">
                  <c:v>244690.82181554986</c:v>
                </c:pt>
                <c:pt idx="52">
                  <c:v>240235.82181554986</c:v>
                </c:pt>
                <c:pt idx="53">
                  <c:v>235780.82181554986</c:v>
                </c:pt>
                <c:pt idx="54">
                  <c:v>231325.82181554986</c:v>
                </c:pt>
                <c:pt idx="55">
                  <c:v>226870.82181554986</c:v>
                </c:pt>
                <c:pt idx="56">
                  <c:v>222415.82181554986</c:v>
                </c:pt>
                <c:pt idx="57">
                  <c:v>217960.82181554986</c:v>
                </c:pt>
                <c:pt idx="58">
                  <c:v>213505.82181554986</c:v>
                </c:pt>
                <c:pt idx="59">
                  <c:v>209050.82181554986</c:v>
                </c:pt>
                <c:pt idx="60">
                  <c:v>204595.82181554986</c:v>
                </c:pt>
                <c:pt idx="61">
                  <c:v>200140.82181554986</c:v>
                </c:pt>
                <c:pt idx="62">
                  <c:v>195685.82181554986</c:v>
                </c:pt>
                <c:pt idx="63">
                  <c:v>191230.82181554986</c:v>
                </c:pt>
                <c:pt idx="64">
                  <c:v>186775.82181554986</c:v>
                </c:pt>
                <c:pt idx="65">
                  <c:v>182320.82181554986</c:v>
                </c:pt>
                <c:pt idx="66">
                  <c:v>177865.82181554986</c:v>
                </c:pt>
                <c:pt idx="67">
                  <c:v>173410.82181554986</c:v>
                </c:pt>
                <c:pt idx="68">
                  <c:v>168955.82181554986</c:v>
                </c:pt>
                <c:pt idx="69">
                  <c:v>164500.82181554986</c:v>
                </c:pt>
                <c:pt idx="70">
                  <c:v>160045.82181554986</c:v>
                </c:pt>
                <c:pt idx="71">
                  <c:v>155590.82181554986</c:v>
                </c:pt>
                <c:pt idx="72">
                  <c:v>151135.82181554986</c:v>
                </c:pt>
                <c:pt idx="73">
                  <c:v>146680.82181554986</c:v>
                </c:pt>
                <c:pt idx="74">
                  <c:v>142225.82181554986</c:v>
                </c:pt>
                <c:pt idx="75">
                  <c:v>137770.82181554986</c:v>
                </c:pt>
                <c:pt idx="76">
                  <c:v>133315.82181554986</c:v>
                </c:pt>
                <c:pt idx="77">
                  <c:v>128860.82181554985</c:v>
                </c:pt>
                <c:pt idx="78">
                  <c:v>124405.82181554985</c:v>
                </c:pt>
                <c:pt idx="79">
                  <c:v>119950.82181554985</c:v>
                </c:pt>
                <c:pt idx="80">
                  <c:v>115495.82181554985</c:v>
                </c:pt>
                <c:pt idx="81">
                  <c:v>111040.82181554985</c:v>
                </c:pt>
                <c:pt idx="82">
                  <c:v>106585.82181554985</c:v>
                </c:pt>
                <c:pt idx="83">
                  <c:v>102130.82181554985</c:v>
                </c:pt>
                <c:pt idx="84">
                  <c:v>97675.821815549847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IntermediateOutput!$I$2</c:f>
              <c:strCache>
                <c:ptCount val="1"/>
                <c:pt idx="0">
                  <c:v>Joint Tens. Strength</c:v>
                </c:pt>
              </c:strCache>
            </c:strRef>
          </c:tx>
          <c:marker>
            <c:symbol val="none"/>
          </c:marker>
          <c:xVal>
            <c:numRef>
              <c:f>IntermediateOutput!$I$3:$I$87</c:f>
              <c:numCache>
                <c:formatCode>General</c:formatCode>
                <c:ptCount val="85"/>
                <c:pt idx="0">
                  <c:v>659000</c:v>
                </c:pt>
                <c:pt idx="1">
                  <c:v>659000</c:v>
                </c:pt>
                <c:pt idx="2">
                  <c:v>659000</c:v>
                </c:pt>
                <c:pt idx="3">
                  <c:v>659000</c:v>
                </c:pt>
                <c:pt idx="4">
                  <c:v>659000</c:v>
                </c:pt>
                <c:pt idx="5">
                  <c:v>659000</c:v>
                </c:pt>
                <c:pt idx="6">
                  <c:v>629000</c:v>
                </c:pt>
                <c:pt idx="7">
                  <c:v>629000</c:v>
                </c:pt>
                <c:pt idx="8">
                  <c:v>629000</c:v>
                </c:pt>
                <c:pt idx="9">
                  <c:v>629000</c:v>
                </c:pt>
                <c:pt idx="10">
                  <c:v>629000</c:v>
                </c:pt>
                <c:pt idx="11">
                  <c:v>629000</c:v>
                </c:pt>
                <c:pt idx="12">
                  <c:v>629000</c:v>
                </c:pt>
                <c:pt idx="13">
                  <c:v>629000</c:v>
                </c:pt>
                <c:pt idx="14">
                  <c:v>629000</c:v>
                </c:pt>
                <c:pt idx="15">
                  <c:v>629000</c:v>
                </c:pt>
                <c:pt idx="16">
                  <c:v>629000</c:v>
                </c:pt>
                <c:pt idx="17">
                  <c:v>629000</c:v>
                </c:pt>
                <c:pt idx="18">
                  <c:v>629000</c:v>
                </c:pt>
                <c:pt idx="19">
                  <c:v>629000</c:v>
                </c:pt>
                <c:pt idx="20">
                  <c:v>629000</c:v>
                </c:pt>
                <c:pt idx="21">
                  <c:v>629000</c:v>
                </c:pt>
                <c:pt idx="22">
                  <c:v>629000</c:v>
                </c:pt>
                <c:pt idx="23">
                  <c:v>629000</c:v>
                </c:pt>
                <c:pt idx="24">
                  <c:v>629000</c:v>
                </c:pt>
                <c:pt idx="25">
                  <c:v>629000</c:v>
                </c:pt>
                <c:pt idx="26">
                  <c:v>629000</c:v>
                </c:pt>
                <c:pt idx="27">
                  <c:v>629000</c:v>
                </c:pt>
                <c:pt idx="28">
                  <c:v>629000</c:v>
                </c:pt>
                <c:pt idx="29">
                  <c:v>629000</c:v>
                </c:pt>
                <c:pt idx="30">
                  <c:v>629000</c:v>
                </c:pt>
                <c:pt idx="31">
                  <c:v>629000</c:v>
                </c:pt>
                <c:pt idx="32">
                  <c:v>629000</c:v>
                </c:pt>
                <c:pt idx="33">
                  <c:v>629000</c:v>
                </c:pt>
                <c:pt idx="34">
                  <c:v>629000</c:v>
                </c:pt>
                <c:pt idx="35">
                  <c:v>629000</c:v>
                </c:pt>
                <c:pt idx="36">
                  <c:v>629000</c:v>
                </c:pt>
                <c:pt idx="37">
                  <c:v>629000</c:v>
                </c:pt>
                <c:pt idx="38">
                  <c:v>629000</c:v>
                </c:pt>
                <c:pt idx="39">
                  <c:v>629000</c:v>
                </c:pt>
                <c:pt idx="40">
                  <c:v>629000</c:v>
                </c:pt>
                <c:pt idx="41">
                  <c:v>629000</c:v>
                </c:pt>
                <c:pt idx="42">
                  <c:v>629000</c:v>
                </c:pt>
                <c:pt idx="43">
                  <c:v>629000</c:v>
                </c:pt>
                <c:pt idx="44">
                  <c:v>629000</c:v>
                </c:pt>
                <c:pt idx="45">
                  <c:v>629000</c:v>
                </c:pt>
                <c:pt idx="46">
                  <c:v>629000</c:v>
                </c:pt>
                <c:pt idx="47">
                  <c:v>629000</c:v>
                </c:pt>
                <c:pt idx="48">
                  <c:v>629000</c:v>
                </c:pt>
                <c:pt idx="49">
                  <c:v>629000</c:v>
                </c:pt>
                <c:pt idx="50">
                  <c:v>629000</c:v>
                </c:pt>
                <c:pt idx="51">
                  <c:v>629000</c:v>
                </c:pt>
                <c:pt idx="52">
                  <c:v>629000</c:v>
                </c:pt>
                <c:pt idx="53">
                  <c:v>629000</c:v>
                </c:pt>
                <c:pt idx="54">
                  <c:v>629000</c:v>
                </c:pt>
                <c:pt idx="55">
                  <c:v>629000</c:v>
                </c:pt>
                <c:pt idx="56">
                  <c:v>629000</c:v>
                </c:pt>
                <c:pt idx="57">
                  <c:v>629000</c:v>
                </c:pt>
                <c:pt idx="58">
                  <c:v>629000</c:v>
                </c:pt>
                <c:pt idx="59">
                  <c:v>629000</c:v>
                </c:pt>
                <c:pt idx="60">
                  <c:v>629000</c:v>
                </c:pt>
                <c:pt idx="61">
                  <c:v>629000</c:v>
                </c:pt>
                <c:pt idx="62">
                  <c:v>629000</c:v>
                </c:pt>
                <c:pt idx="63">
                  <c:v>629000</c:v>
                </c:pt>
                <c:pt idx="64">
                  <c:v>629000</c:v>
                </c:pt>
                <c:pt idx="65">
                  <c:v>629000</c:v>
                </c:pt>
                <c:pt idx="66">
                  <c:v>629000</c:v>
                </c:pt>
                <c:pt idx="67">
                  <c:v>629000</c:v>
                </c:pt>
                <c:pt idx="68">
                  <c:v>629000</c:v>
                </c:pt>
                <c:pt idx="69">
                  <c:v>629000</c:v>
                </c:pt>
                <c:pt idx="70">
                  <c:v>629000</c:v>
                </c:pt>
                <c:pt idx="71">
                  <c:v>749000</c:v>
                </c:pt>
                <c:pt idx="72">
                  <c:v>749000</c:v>
                </c:pt>
                <c:pt idx="73">
                  <c:v>749000</c:v>
                </c:pt>
                <c:pt idx="74">
                  <c:v>749000</c:v>
                </c:pt>
                <c:pt idx="75">
                  <c:v>749000</c:v>
                </c:pt>
                <c:pt idx="76">
                  <c:v>749000</c:v>
                </c:pt>
                <c:pt idx="77">
                  <c:v>749000</c:v>
                </c:pt>
                <c:pt idx="78">
                  <c:v>749000</c:v>
                </c:pt>
                <c:pt idx="79">
                  <c:v>749000</c:v>
                </c:pt>
                <c:pt idx="80">
                  <c:v>749000</c:v>
                </c:pt>
                <c:pt idx="81">
                  <c:v>749000</c:v>
                </c:pt>
                <c:pt idx="82">
                  <c:v>749000</c:v>
                </c:pt>
                <c:pt idx="83">
                  <c:v>749000</c:v>
                </c:pt>
                <c:pt idx="84">
                  <c:v>749000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IntermediateOutput!$J$2</c:f>
              <c:strCache>
                <c:ptCount val="1"/>
                <c:pt idx="0">
                  <c:v>Joint Tensile</c:v>
                </c:pt>
              </c:strCache>
            </c:strRef>
          </c:tx>
          <c:marker>
            <c:symbol val="none"/>
          </c:marker>
          <c:xVal>
            <c:numRef>
              <c:f>IntermediateOutput!$J$3:$J$87</c:f>
              <c:numCache>
                <c:formatCode>General</c:formatCode>
                <c:ptCount val="85"/>
                <c:pt idx="0">
                  <c:v>533768.50015658652</c:v>
                </c:pt>
                <c:pt idx="1">
                  <c:v>529016.50015658652</c:v>
                </c:pt>
                <c:pt idx="2">
                  <c:v>524264.50015658658</c:v>
                </c:pt>
                <c:pt idx="3">
                  <c:v>519512.50015658658</c:v>
                </c:pt>
                <c:pt idx="4">
                  <c:v>514760.50015658658</c:v>
                </c:pt>
                <c:pt idx="5">
                  <c:v>510008.50015658658</c:v>
                </c:pt>
                <c:pt idx="6">
                  <c:v>504198.98617865983</c:v>
                </c:pt>
                <c:pt idx="7">
                  <c:v>498852.98617865983</c:v>
                </c:pt>
                <c:pt idx="8">
                  <c:v>493506.98617865983</c:v>
                </c:pt>
                <c:pt idx="9">
                  <c:v>488160.98617865983</c:v>
                </c:pt>
                <c:pt idx="10">
                  <c:v>482814.98617865983</c:v>
                </c:pt>
                <c:pt idx="11">
                  <c:v>477468.98617865983</c:v>
                </c:pt>
                <c:pt idx="12">
                  <c:v>472122.98617865983</c:v>
                </c:pt>
                <c:pt idx="13">
                  <c:v>466776.98617865983</c:v>
                </c:pt>
                <c:pt idx="14">
                  <c:v>461430.98617865983</c:v>
                </c:pt>
                <c:pt idx="15">
                  <c:v>456084.98617865983</c:v>
                </c:pt>
                <c:pt idx="16">
                  <c:v>450738.98617865983</c:v>
                </c:pt>
                <c:pt idx="17">
                  <c:v>445392.98617865983</c:v>
                </c:pt>
                <c:pt idx="18">
                  <c:v>440046.98617865983</c:v>
                </c:pt>
                <c:pt idx="19">
                  <c:v>434700.98617865983</c:v>
                </c:pt>
                <c:pt idx="20">
                  <c:v>429354.98617865983</c:v>
                </c:pt>
                <c:pt idx="21">
                  <c:v>424008.98617865983</c:v>
                </c:pt>
                <c:pt idx="22">
                  <c:v>418662.98617865983</c:v>
                </c:pt>
                <c:pt idx="23">
                  <c:v>413316.98617865983</c:v>
                </c:pt>
                <c:pt idx="24">
                  <c:v>407970.98617865983</c:v>
                </c:pt>
                <c:pt idx="25">
                  <c:v>402624.98617865983</c:v>
                </c:pt>
                <c:pt idx="26">
                  <c:v>397278.98617865983</c:v>
                </c:pt>
                <c:pt idx="27">
                  <c:v>391932.98617865983</c:v>
                </c:pt>
                <c:pt idx="28">
                  <c:v>386586.98617865983</c:v>
                </c:pt>
                <c:pt idx="29">
                  <c:v>381240.98617865983</c:v>
                </c:pt>
                <c:pt idx="30">
                  <c:v>375894.98617865983</c:v>
                </c:pt>
                <c:pt idx="31">
                  <c:v>370548.98617865983</c:v>
                </c:pt>
                <c:pt idx="32">
                  <c:v>365202.98617865983</c:v>
                </c:pt>
                <c:pt idx="33">
                  <c:v>359856.98617865983</c:v>
                </c:pt>
                <c:pt idx="34">
                  <c:v>354510.98617865983</c:v>
                </c:pt>
                <c:pt idx="35">
                  <c:v>349164.98617865983</c:v>
                </c:pt>
                <c:pt idx="36">
                  <c:v>343818.98617865983</c:v>
                </c:pt>
                <c:pt idx="37">
                  <c:v>338472.98617865983</c:v>
                </c:pt>
                <c:pt idx="38">
                  <c:v>333126.98617865983</c:v>
                </c:pt>
                <c:pt idx="39">
                  <c:v>327780.98617865983</c:v>
                </c:pt>
                <c:pt idx="40">
                  <c:v>322434.98617865983</c:v>
                </c:pt>
                <c:pt idx="41">
                  <c:v>317088.98617865983</c:v>
                </c:pt>
                <c:pt idx="42">
                  <c:v>311742.98617865983</c:v>
                </c:pt>
                <c:pt idx="43">
                  <c:v>306396.98617865983</c:v>
                </c:pt>
                <c:pt idx="44">
                  <c:v>301050.98617865983</c:v>
                </c:pt>
                <c:pt idx="45">
                  <c:v>295704.98617865983</c:v>
                </c:pt>
                <c:pt idx="46">
                  <c:v>290358.98617865983</c:v>
                </c:pt>
                <c:pt idx="47">
                  <c:v>285012.98617865983</c:v>
                </c:pt>
                <c:pt idx="48">
                  <c:v>279666.98617865983</c:v>
                </c:pt>
                <c:pt idx="49">
                  <c:v>274320.98617865983</c:v>
                </c:pt>
                <c:pt idx="50">
                  <c:v>268974.98617865983</c:v>
                </c:pt>
                <c:pt idx="51">
                  <c:v>263628.98617865983</c:v>
                </c:pt>
                <c:pt idx="52">
                  <c:v>258282.9861786598</c:v>
                </c:pt>
                <c:pt idx="53">
                  <c:v>252936.9861786598</c:v>
                </c:pt>
                <c:pt idx="54">
                  <c:v>247590.9861786598</c:v>
                </c:pt>
                <c:pt idx="55">
                  <c:v>242244.9861786598</c:v>
                </c:pt>
                <c:pt idx="56">
                  <c:v>236898.9861786598</c:v>
                </c:pt>
                <c:pt idx="57">
                  <c:v>231552.9861786598</c:v>
                </c:pt>
                <c:pt idx="58">
                  <c:v>226206.9861786598</c:v>
                </c:pt>
                <c:pt idx="59">
                  <c:v>220860.9861786598</c:v>
                </c:pt>
                <c:pt idx="60">
                  <c:v>215514.9861786598</c:v>
                </c:pt>
                <c:pt idx="61">
                  <c:v>210168.9861786598</c:v>
                </c:pt>
                <c:pt idx="62">
                  <c:v>204822.9861786598</c:v>
                </c:pt>
                <c:pt idx="63">
                  <c:v>199476.9861786598</c:v>
                </c:pt>
                <c:pt idx="64">
                  <c:v>194130.9861786598</c:v>
                </c:pt>
                <c:pt idx="65">
                  <c:v>188784.9861786598</c:v>
                </c:pt>
                <c:pt idx="66">
                  <c:v>183438.9861786598</c:v>
                </c:pt>
                <c:pt idx="67">
                  <c:v>178092.9861786598</c:v>
                </c:pt>
                <c:pt idx="68">
                  <c:v>172746.9861786598</c:v>
                </c:pt>
                <c:pt idx="69">
                  <c:v>167400.9861786598</c:v>
                </c:pt>
                <c:pt idx="70">
                  <c:v>162054.9861786598</c:v>
                </c:pt>
                <c:pt idx="71">
                  <c:v>156708.9861786598</c:v>
                </c:pt>
                <c:pt idx="72">
                  <c:v>151362.9861786598</c:v>
                </c:pt>
                <c:pt idx="73">
                  <c:v>146016.9861786598</c:v>
                </c:pt>
                <c:pt idx="74">
                  <c:v>140670.9861786598</c:v>
                </c:pt>
                <c:pt idx="75">
                  <c:v>135324.9861786598</c:v>
                </c:pt>
                <c:pt idx="76">
                  <c:v>129978.98617865982</c:v>
                </c:pt>
                <c:pt idx="77">
                  <c:v>124632.98617865982</c:v>
                </c:pt>
                <c:pt idx="78">
                  <c:v>119286.98617865982</c:v>
                </c:pt>
                <c:pt idx="79">
                  <c:v>113940.98617865982</c:v>
                </c:pt>
                <c:pt idx="80">
                  <c:v>108594.98617865982</c:v>
                </c:pt>
                <c:pt idx="81">
                  <c:v>103248.98617865982</c:v>
                </c:pt>
                <c:pt idx="82">
                  <c:v>97902.986178659819</c:v>
                </c:pt>
                <c:pt idx="83">
                  <c:v>92556.986178659819</c:v>
                </c:pt>
                <c:pt idx="84">
                  <c:v>87210.986178659819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737792"/>
        <c:axId val="336739712"/>
      </c:scatterChart>
      <c:valAx>
        <c:axId val="3367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739712"/>
        <c:crosses val="autoZero"/>
        <c:crossBetween val="midCat"/>
      </c:valAx>
      <c:valAx>
        <c:axId val="33673971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737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Intermediate Casing- Burst Pressure Test</a:t>
            </a:r>
          </a:p>
        </c:rich>
      </c:tx>
      <c:layout>
        <c:manualLayout>
          <c:xMode val="edge"/>
          <c:yMode val="edge"/>
          <c:x val="8.9148339216218661E-2"/>
          <c:y val="0.8462046204620462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19794178871656"/>
          <c:y val="0.13250348656912936"/>
          <c:w val="0.5398727034120735"/>
          <c:h val="0.68921660834062404"/>
        </c:manualLayout>
      </c:layout>
      <c:scatterChart>
        <c:scatterStyle val="smoothMarker"/>
        <c:varyColors val="0"/>
        <c:ser>
          <c:idx val="3"/>
          <c:order val="0"/>
          <c:tx>
            <c:strRef>
              <c:f>IntermediateOutput!$M$2</c:f>
              <c:strCache>
                <c:ptCount val="1"/>
                <c:pt idx="0">
                  <c:v>Burst Strength</c:v>
                </c:pt>
              </c:strCache>
            </c:strRef>
          </c:tx>
          <c:marker>
            <c:symbol val="none"/>
          </c:marker>
          <c:xVal>
            <c:numRef>
              <c:f>IntermediateOutput!$M$3:$M$87</c:f>
              <c:numCache>
                <c:formatCode>General</c:formatCode>
                <c:ptCount val="85"/>
                <c:pt idx="0">
                  <c:v>6020</c:v>
                </c:pt>
                <c:pt idx="1">
                  <c:v>6020</c:v>
                </c:pt>
                <c:pt idx="2">
                  <c:v>6020</c:v>
                </c:pt>
                <c:pt idx="3">
                  <c:v>6020</c:v>
                </c:pt>
                <c:pt idx="4">
                  <c:v>6020</c:v>
                </c:pt>
                <c:pt idx="5">
                  <c:v>6020</c:v>
                </c:pt>
                <c:pt idx="6">
                  <c:v>5590</c:v>
                </c:pt>
                <c:pt idx="7">
                  <c:v>5590</c:v>
                </c:pt>
                <c:pt idx="8">
                  <c:v>5590</c:v>
                </c:pt>
                <c:pt idx="9">
                  <c:v>5590</c:v>
                </c:pt>
                <c:pt idx="10">
                  <c:v>5590</c:v>
                </c:pt>
                <c:pt idx="11">
                  <c:v>5590</c:v>
                </c:pt>
                <c:pt idx="12">
                  <c:v>5590</c:v>
                </c:pt>
                <c:pt idx="13">
                  <c:v>5590</c:v>
                </c:pt>
                <c:pt idx="14">
                  <c:v>5590</c:v>
                </c:pt>
                <c:pt idx="15">
                  <c:v>5590</c:v>
                </c:pt>
                <c:pt idx="16">
                  <c:v>5590</c:v>
                </c:pt>
                <c:pt idx="17">
                  <c:v>5590</c:v>
                </c:pt>
                <c:pt idx="18">
                  <c:v>5590</c:v>
                </c:pt>
                <c:pt idx="19">
                  <c:v>5590</c:v>
                </c:pt>
                <c:pt idx="20">
                  <c:v>5590</c:v>
                </c:pt>
                <c:pt idx="21">
                  <c:v>5590</c:v>
                </c:pt>
                <c:pt idx="22">
                  <c:v>5590</c:v>
                </c:pt>
                <c:pt idx="23">
                  <c:v>5590</c:v>
                </c:pt>
                <c:pt idx="24">
                  <c:v>5590</c:v>
                </c:pt>
                <c:pt idx="25">
                  <c:v>5590</c:v>
                </c:pt>
                <c:pt idx="26">
                  <c:v>5590</c:v>
                </c:pt>
                <c:pt idx="27">
                  <c:v>5590</c:v>
                </c:pt>
                <c:pt idx="28">
                  <c:v>5590</c:v>
                </c:pt>
                <c:pt idx="29">
                  <c:v>5590</c:v>
                </c:pt>
                <c:pt idx="30">
                  <c:v>5590</c:v>
                </c:pt>
                <c:pt idx="31">
                  <c:v>5590</c:v>
                </c:pt>
                <c:pt idx="32">
                  <c:v>5590</c:v>
                </c:pt>
                <c:pt idx="33">
                  <c:v>5590</c:v>
                </c:pt>
                <c:pt idx="34">
                  <c:v>5590</c:v>
                </c:pt>
                <c:pt idx="35">
                  <c:v>5590</c:v>
                </c:pt>
                <c:pt idx="36">
                  <c:v>5590</c:v>
                </c:pt>
                <c:pt idx="37">
                  <c:v>5590</c:v>
                </c:pt>
                <c:pt idx="38">
                  <c:v>5590</c:v>
                </c:pt>
                <c:pt idx="39">
                  <c:v>5590</c:v>
                </c:pt>
                <c:pt idx="40">
                  <c:v>5590</c:v>
                </c:pt>
                <c:pt idx="41">
                  <c:v>5590</c:v>
                </c:pt>
                <c:pt idx="42">
                  <c:v>5590</c:v>
                </c:pt>
                <c:pt idx="43">
                  <c:v>5590</c:v>
                </c:pt>
                <c:pt idx="44">
                  <c:v>5590</c:v>
                </c:pt>
                <c:pt idx="45">
                  <c:v>5590</c:v>
                </c:pt>
                <c:pt idx="46">
                  <c:v>5590</c:v>
                </c:pt>
                <c:pt idx="47">
                  <c:v>5590</c:v>
                </c:pt>
                <c:pt idx="48">
                  <c:v>5590</c:v>
                </c:pt>
                <c:pt idx="49">
                  <c:v>5590</c:v>
                </c:pt>
                <c:pt idx="50">
                  <c:v>5590</c:v>
                </c:pt>
                <c:pt idx="51">
                  <c:v>5590</c:v>
                </c:pt>
                <c:pt idx="52">
                  <c:v>5590</c:v>
                </c:pt>
                <c:pt idx="53">
                  <c:v>5590</c:v>
                </c:pt>
                <c:pt idx="54">
                  <c:v>5590</c:v>
                </c:pt>
                <c:pt idx="55">
                  <c:v>5590</c:v>
                </c:pt>
                <c:pt idx="56">
                  <c:v>5590</c:v>
                </c:pt>
                <c:pt idx="57">
                  <c:v>5590</c:v>
                </c:pt>
                <c:pt idx="58">
                  <c:v>5590</c:v>
                </c:pt>
                <c:pt idx="59">
                  <c:v>5590</c:v>
                </c:pt>
                <c:pt idx="60">
                  <c:v>5590</c:v>
                </c:pt>
                <c:pt idx="61">
                  <c:v>5590</c:v>
                </c:pt>
                <c:pt idx="62">
                  <c:v>5590</c:v>
                </c:pt>
                <c:pt idx="63">
                  <c:v>5590</c:v>
                </c:pt>
                <c:pt idx="64">
                  <c:v>5590</c:v>
                </c:pt>
                <c:pt idx="65">
                  <c:v>5590</c:v>
                </c:pt>
                <c:pt idx="66">
                  <c:v>5590</c:v>
                </c:pt>
                <c:pt idx="67">
                  <c:v>5590</c:v>
                </c:pt>
                <c:pt idx="68">
                  <c:v>5590</c:v>
                </c:pt>
                <c:pt idx="69">
                  <c:v>5590</c:v>
                </c:pt>
                <c:pt idx="70">
                  <c:v>5590</c:v>
                </c:pt>
                <c:pt idx="71">
                  <c:v>7150</c:v>
                </c:pt>
                <c:pt idx="72">
                  <c:v>7150</c:v>
                </c:pt>
                <c:pt idx="73">
                  <c:v>7150</c:v>
                </c:pt>
                <c:pt idx="74">
                  <c:v>7150</c:v>
                </c:pt>
                <c:pt idx="75">
                  <c:v>7150</c:v>
                </c:pt>
                <c:pt idx="76">
                  <c:v>7150</c:v>
                </c:pt>
                <c:pt idx="77">
                  <c:v>7150</c:v>
                </c:pt>
                <c:pt idx="78">
                  <c:v>7150</c:v>
                </c:pt>
                <c:pt idx="79">
                  <c:v>7150</c:v>
                </c:pt>
                <c:pt idx="80">
                  <c:v>7150</c:v>
                </c:pt>
                <c:pt idx="81">
                  <c:v>7150</c:v>
                </c:pt>
                <c:pt idx="82">
                  <c:v>7150</c:v>
                </c:pt>
                <c:pt idx="83">
                  <c:v>7150</c:v>
                </c:pt>
                <c:pt idx="84">
                  <c:v>7150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IntermediateOutput!$N$2</c:f>
              <c:strCache>
                <c:ptCount val="1"/>
                <c:pt idx="0">
                  <c:v>Burst</c:v>
                </c:pt>
              </c:strCache>
            </c:strRef>
          </c:tx>
          <c:marker>
            <c:symbol val="none"/>
          </c:marker>
          <c:xVal>
            <c:numRef>
              <c:f>IntermediateOutput!$N$3:$N$87</c:f>
              <c:numCache>
                <c:formatCode>General</c:formatCode>
                <c:ptCount val="85"/>
                <c:pt idx="0">
                  <c:v>4380.3825244623313</c:v>
                </c:pt>
                <c:pt idx="1">
                  <c:v>4341.3662570136057</c:v>
                </c:pt>
                <c:pt idx="2">
                  <c:v>4302.3499895648811</c:v>
                </c:pt>
                <c:pt idx="3">
                  <c:v>4263.3337221161555</c:v>
                </c:pt>
                <c:pt idx="4">
                  <c:v>4224.31745466743</c:v>
                </c:pt>
                <c:pt idx="5">
                  <c:v>4185.3011872187044</c:v>
                </c:pt>
                <c:pt idx="6">
                  <c:v>4146.2849197699798</c:v>
                </c:pt>
                <c:pt idx="7">
                  <c:v>4107.2686523212542</c:v>
                </c:pt>
                <c:pt idx="8">
                  <c:v>4068.2523848725291</c:v>
                </c:pt>
                <c:pt idx="9">
                  <c:v>4029.2361174238035</c:v>
                </c:pt>
                <c:pt idx="10">
                  <c:v>3990.2198499750784</c:v>
                </c:pt>
                <c:pt idx="11">
                  <c:v>3951.2035825263529</c:v>
                </c:pt>
                <c:pt idx="12">
                  <c:v>3912.1873150776273</c:v>
                </c:pt>
                <c:pt idx="13">
                  <c:v>3873.1710476289027</c:v>
                </c:pt>
                <c:pt idx="14">
                  <c:v>3834.1547801801771</c:v>
                </c:pt>
                <c:pt idx="15">
                  <c:v>3795.1385127314516</c:v>
                </c:pt>
                <c:pt idx="16">
                  <c:v>3756.122245282726</c:v>
                </c:pt>
                <c:pt idx="17">
                  <c:v>3717.1059778340009</c:v>
                </c:pt>
                <c:pt idx="18">
                  <c:v>3678.0897103852753</c:v>
                </c:pt>
                <c:pt idx="19">
                  <c:v>3639.0734429365502</c:v>
                </c:pt>
                <c:pt idx="20">
                  <c:v>3600.0571754878251</c:v>
                </c:pt>
                <c:pt idx="21">
                  <c:v>3561.0409080390996</c:v>
                </c:pt>
                <c:pt idx="22">
                  <c:v>3522.0246405903745</c:v>
                </c:pt>
                <c:pt idx="23">
                  <c:v>3483.0083731416494</c:v>
                </c:pt>
                <c:pt idx="24">
                  <c:v>3443.9921056929238</c:v>
                </c:pt>
                <c:pt idx="25">
                  <c:v>3404.9758382441983</c:v>
                </c:pt>
                <c:pt idx="26">
                  <c:v>3365.9595707954732</c:v>
                </c:pt>
                <c:pt idx="27">
                  <c:v>3326.9433033467485</c:v>
                </c:pt>
                <c:pt idx="28">
                  <c:v>3287.9270358980225</c:v>
                </c:pt>
                <c:pt idx="29">
                  <c:v>3248.9107684492974</c:v>
                </c:pt>
                <c:pt idx="30">
                  <c:v>3209.8945010005723</c:v>
                </c:pt>
                <c:pt idx="31">
                  <c:v>3170.8782335518467</c:v>
                </c:pt>
                <c:pt idx="32">
                  <c:v>3131.8619661031212</c:v>
                </c:pt>
                <c:pt idx="33">
                  <c:v>3092.8456986543961</c:v>
                </c:pt>
                <c:pt idx="34">
                  <c:v>3053.8294312056714</c:v>
                </c:pt>
                <c:pt idx="35">
                  <c:v>3014.8131637569459</c:v>
                </c:pt>
                <c:pt idx="36">
                  <c:v>2975.7968963082203</c:v>
                </c:pt>
                <c:pt idx="37">
                  <c:v>2936.7806288594952</c:v>
                </c:pt>
                <c:pt idx="38">
                  <c:v>2897.7643614107697</c:v>
                </c:pt>
                <c:pt idx="39">
                  <c:v>2858.7480939620441</c:v>
                </c:pt>
                <c:pt idx="40">
                  <c:v>2819.731826513319</c:v>
                </c:pt>
                <c:pt idx="41">
                  <c:v>2780.7155590645939</c:v>
                </c:pt>
                <c:pt idx="42">
                  <c:v>2741.6992916158688</c:v>
                </c:pt>
                <c:pt idx="43">
                  <c:v>2702.6830241671432</c:v>
                </c:pt>
                <c:pt idx="44">
                  <c:v>2663.6667567184181</c:v>
                </c:pt>
                <c:pt idx="45">
                  <c:v>2624.650489269693</c:v>
                </c:pt>
                <c:pt idx="46">
                  <c:v>2585.6342218209675</c:v>
                </c:pt>
                <c:pt idx="47">
                  <c:v>2546.6179543722419</c:v>
                </c:pt>
                <c:pt idx="48">
                  <c:v>2507.6016869235168</c:v>
                </c:pt>
                <c:pt idx="49">
                  <c:v>2468.5854194747917</c:v>
                </c:pt>
                <c:pt idx="50">
                  <c:v>2429.5691520260666</c:v>
                </c:pt>
                <c:pt idx="51">
                  <c:v>2390.552884577341</c:v>
                </c:pt>
                <c:pt idx="52">
                  <c:v>2351.5366171286159</c:v>
                </c:pt>
                <c:pt idx="53">
                  <c:v>2312.5203496798904</c:v>
                </c:pt>
                <c:pt idx="54">
                  <c:v>2273.5040822311653</c:v>
                </c:pt>
                <c:pt idx="55">
                  <c:v>2234.4878147824397</c:v>
                </c:pt>
                <c:pt idx="56">
                  <c:v>2195.4715473337142</c:v>
                </c:pt>
                <c:pt idx="57">
                  <c:v>2156.4552798849895</c:v>
                </c:pt>
                <c:pt idx="58">
                  <c:v>2117.439012436264</c:v>
                </c:pt>
                <c:pt idx="59">
                  <c:v>2078.4227449875389</c:v>
                </c:pt>
                <c:pt idx="60">
                  <c:v>2039.4064775388133</c:v>
                </c:pt>
                <c:pt idx="61">
                  <c:v>2000.3902100900884</c:v>
                </c:pt>
                <c:pt idx="62">
                  <c:v>1961.3739426413629</c:v>
                </c:pt>
                <c:pt idx="63">
                  <c:v>1922.3576751926378</c:v>
                </c:pt>
                <c:pt idx="64">
                  <c:v>1883.3414077439122</c:v>
                </c:pt>
                <c:pt idx="65">
                  <c:v>1844.3251402951867</c:v>
                </c:pt>
                <c:pt idx="66">
                  <c:v>1805.3088728464618</c:v>
                </c:pt>
                <c:pt idx="67">
                  <c:v>1766.2926053977362</c:v>
                </c:pt>
                <c:pt idx="68">
                  <c:v>1727.2763379490111</c:v>
                </c:pt>
                <c:pt idx="69">
                  <c:v>1688.2600705002858</c:v>
                </c:pt>
                <c:pt idx="70">
                  <c:v>1649.2438030515607</c:v>
                </c:pt>
                <c:pt idx="71">
                  <c:v>1610.2275356028351</c:v>
                </c:pt>
                <c:pt idx="72">
                  <c:v>1571.2112681541103</c:v>
                </c:pt>
                <c:pt idx="73">
                  <c:v>1532.1950007053847</c:v>
                </c:pt>
                <c:pt idx="74">
                  <c:v>1493.1787332566596</c:v>
                </c:pt>
                <c:pt idx="75">
                  <c:v>1454.162465807934</c:v>
                </c:pt>
                <c:pt idx="76">
                  <c:v>1415.1461983592087</c:v>
                </c:pt>
                <c:pt idx="77">
                  <c:v>1376.1299309104836</c:v>
                </c:pt>
                <c:pt idx="78">
                  <c:v>1337.1136634617581</c:v>
                </c:pt>
                <c:pt idx="79">
                  <c:v>1298.0973960130329</c:v>
                </c:pt>
                <c:pt idx="80">
                  <c:v>1259.0811285643076</c:v>
                </c:pt>
                <c:pt idx="81">
                  <c:v>1220.0648611155825</c:v>
                </c:pt>
                <c:pt idx="82">
                  <c:v>1181.048593666857</c:v>
                </c:pt>
                <c:pt idx="83">
                  <c:v>1142.0323262181321</c:v>
                </c:pt>
                <c:pt idx="84">
                  <c:v>1103.0160587694065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783616"/>
        <c:axId val="336789888"/>
      </c:scatterChart>
      <c:valAx>
        <c:axId val="3367836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789888"/>
        <c:crosses val="autoZero"/>
        <c:crossBetween val="midCat"/>
      </c:valAx>
      <c:valAx>
        <c:axId val="33678988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783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Intermediate Casing- Gas Kick Burst</a:t>
            </a:r>
          </a:p>
        </c:rich>
      </c:tx>
      <c:layout>
        <c:manualLayout>
          <c:xMode val="edge"/>
          <c:yMode val="edge"/>
          <c:x val="0.13872423481311411"/>
          <c:y val="0.8506050605060505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19794178871656"/>
          <c:y val="0.13250348656912936"/>
          <c:w val="0.5398727034120735"/>
          <c:h val="0.68921660834062404"/>
        </c:manualLayout>
      </c:layout>
      <c:scatterChart>
        <c:scatterStyle val="smoothMarker"/>
        <c:varyColors val="0"/>
        <c:ser>
          <c:idx val="3"/>
          <c:order val="0"/>
          <c:tx>
            <c:strRef>
              <c:f>IntermediateOutput!$T$2</c:f>
              <c:strCache>
                <c:ptCount val="1"/>
                <c:pt idx="0">
                  <c:v>Burst Strength</c:v>
                </c:pt>
              </c:strCache>
            </c:strRef>
          </c:tx>
          <c:marker>
            <c:symbol val="none"/>
          </c:marker>
          <c:xVal>
            <c:numRef>
              <c:f>IntermediateOutput!$T$3:$T$87</c:f>
              <c:numCache>
                <c:formatCode>General</c:formatCode>
                <c:ptCount val="85"/>
                <c:pt idx="0">
                  <c:v>6020</c:v>
                </c:pt>
                <c:pt idx="1">
                  <c:v>6020</c:v>
                </c:pt>
                <c:pt idx="2">
                  <c:v>6020</c:v>
                </c:pt>
                <c:pt idx="3">
                  <c:v>6020</c:v>
                </c:pt>
                <c:pt idx="4">
                  <c:v>6020</c:v>
                </c:pt>
                <c:pt idx="5">
                  <c:v>6020</c:v>
                </c:pt>
                <c:pt idx="6">
                  <c:v>5590</c:v>
                </c:pt>
                <c:pt idx="7">
                  <c:v>5590</c:v>
                </c:pt>
                <c:pt idx="8">
                  <c:v>5590</c:v>
                </c:pt>
                <c:pt idx="9">
                  <c:v>5590</c:v>
                </c:pt>
                <c:pt idx="10">
                  <c:v>5590</c:v>
                </c:pt>
                <c:pt idx="11">
                  <c:v>5590</c:v>
                </c:pt>
                <c:pt idx="12">
                  <c:v>5590</c:v>
                </c:pt>
                <c:pt idx="13">
                  <c:v>5590</c:v>
                </c:pt>
                <c:pt idx="14">
                  <c:v>5590</c:v>
                </c:pt>
                <c:pt idx="15">
                  <c:v>5590</c:v>
                </c:pt>
                <c:pt idx="16">
                  <c:v>5590</c:v>
                </c:pt>
                <c:pt idx="17">
                  <c:v>5590</c:v>
                </c:pt>
                <c:pt idx="18">
                  <c:v>5590</c:v>
                </c:pt>
                <c:pt idx="19">
                  <c:v>5590</c:v>
                </c:pt>
                <c:pt idx="20">
                  <c:v>5590</c:v>
                </c:pt>
                <c:pt idx="21">
                  <c:v>5590</c:v>
                </c:pt>
                <c:pt idx="22">
                  <c:v>5590</c:v>
                </c:pt>
                <c:pt idx="23">
                  <c:v>5590</c:v>
                </c:pt>
                <c:pt idx="24">
                  <c:v>5590</c:v>
                </c:pt>
                <c:pt idx="25">
                  <c:v>5590</c:v>
                </c:pt>
                <c:pt idx="26">
                  <c:v>5590</c:v>
                </c:pt>
                <c:pt idx="27">
                  <c:v>5590</c:v>
                </c:pt>
                <c:pt idx="28">
                  <c:v>5590</c:v>
                </c:pt>
                <c:pt idx="29">
                  <c:v>5590</c:v>
                </c:pt>
                <c:pt idx="30">
                  <c:v>5590</c:v>
                </c:pt>
                <c:pt idx="31">
                  <c:v>5590</c:v>
                </c:pt>
                <c:pt idx="32">
                  <c:v>5590</c:v>
                </c:pt>
                <c:pt idx="33">
                  <c:v>5590</c:v>
                </c:pt>
                <c:pt idx="34">
                  <c:v>5590</c:v>
                </c:pt>
                <c:pt idx="35">
                  <c:v>5590</c:v>
                </c:pt>
                <c:pt idx="36">
                  <c:v>5590</c:v>
                </c:pt>
                <c:pt idx="37">
                  <c:v>5590</c:v>
                </c:pt>
                <c:pt idx="38">
                  <c:v>5590</c:v>
                </c:pt>
                <c:pt idx="39">
                  <c:v>5590</c:v>
                </c:pt>
                <c:pt idx="40">
                  <c:v>5590</c:v>
                </c:pt>
                <c:pt idx="41">
                  <c:v>5590</c:v>
                </c:pt>
                <c:pt idx="42">
                  <c:v>5590</c:v>
                </c:pt>
                <c:pt idx="43">
                  <c:v>5590</c:v>
                </c:pt>
                <c:pt idx="44">
                  <c:v>5590</c:v>
                </c:pt>
                <c:pt idx="45">
                  <c:v>5590</c:v>
                </c:pt>
                <c:pt idx="46">
                  <c:v>5590</c:v>
                </c:pt>
                <c:pt idx="47">
                  <c:v>5590</c:v>
                </c:pt>
                <c:pt idx="48">
                  <c:v>5590</c:v>
                </c:pt>
                <c:pt idx="49">
                  <c:v>5590</c:v>
                </c:pt>
                <c:pt idx="50">
                  <c:v>5590</c:v>
                </c:pt>
                <c:pt idx="51">
                  <c:v>5590</c:v>
                </c:pt>
                <c:pt idx="52">
                  <c:v>5590</c:v>
                </c:pt>
                <c:pt idx="53">
                  <c:v>5590</c:v>
                </c:pt>
                <c:pt idx="54">
                  <c:v>5590</c:v>
                </c:pt>
                <c:pt idx="55">
                  <c:v>5590</c:v>
                </c:pt>
                <c:pt idx="56">
                  <c:v>5590</c:v>
                </c:pt>
                <c:pt idx="57">
                  <c:v>5590</c:v>
                </c:pt>
                <c:pt idx="58">
                  <c:v>5590</c:v>
                </c:pt>
                <c:pt idx="59">
                  <c:v>5590</c:v>
                </c:pt>
                <c:pt idx="60">
                  <c:v>5590</c:v>
                </c:pt>
                <c:pt idx="61">
                  <c:v>5590</c:v>
                </c:pt>
                <c:pt idx="62">
                  <c:v>5590</c:v>
                </c:pt>
                <c:pt idx="63">
                  <c:v>5590</c:v>
                </c:pt>
                <c:pt idx="64">
                  <c:v>5590</c:v>
                </c:pt>
                <c:pt idx="65">
                  <c:v>5590</c:v>
                </c:pt>
                <c:pt idx="66">
                  <c:v>5590</c:v>
                </c:pt>
                <c:pt idx="67">
                  <c:v>5590</c:v>
                </c:pt>
                <c:pt idx="68">
                  <c:v>5590</c:v>
                </c:pt>
                <c:pt idx="69">
                  <c:v>5590</c:v>
                </c:pt>
                <c:pt idx="70">
                  <c:v>5590</c:v>
                </c:pt>
                <c:pt idx="71">
                  <c:v>6890</c:v>
                </c:pt>
                <c:pt idx="72">
                  <c:v>6890</c:v>
                </c:pt>
                <c:pt idx="73">
                  <c:v>6890</c:v>
                </c:pt>
                <c:pt idx="74">
                  <c:v>6890</c:v>
                </c:pt>
                <c:pt idx="75">
                  <c:v>6890</c:v>
                </c:pt>
                <c:pt idx="76">
                  <c:v>6890</c:v>
                </c:pt>
                <c:pt idx="77">
                  <c:v>6890</c:v>
                </c:pt>
                <c:pt idx="78">
                  <c:v>6890</c:v>
                </c:pt>
                <c:pt idx="79">
                  <c:v>6890</c:v>
                </c:pt>
                <c:pt idx="80">
                  <c:v>6890</c:v>
                </c:pt>
                <c:pt idx="81">
                  <c:v>6890</c:v>
                </c:pt>
                <c:pt idx="82">
                  <c:v>6890</c:v>
                </c:pt>
                <c:pt idx="83">
                  <c:v>6890</c:v>
                </c:pt>
                <c:pt idx="84">
                  <c:v>6890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IntermediateOutput!$U$2</c:f>
              <c:strCache>
                <c:ptCount val="1"/>
                <c:pt idx="0">
                  <c:v>Burst</c:v>
                </c:pt>
              </c:strCache>
            </c:strRef>
          </c:tx>
          <c:marker>
            <c:symbol val="none"/>
          </c:marker>
          <c:xVal>
            <c:numRef>
              <c:f>IntermediateOutput!$U$3:$U$87</c:f>
              <c:numCache>
                <c:formatCode>General</c:formatCode>
                <c:ptCount val="85"/>
                <c:pt idx="0">
                  <c:v>4400</c:v>
                </c:pt>
                <c:pt idx="1">
                  <c:v>4416.971428571429</c:v>
                </c:pt>
                <c:pt idx="2">
                  <c:v>4433.9428571428571</c:v>
                </c:pt>
                <c:pt idx="3">
                  <c:v>4450.9142857142851</c:v>
                </c:pt>
                <c:pt idx="4">
                  <c:v>4467.885714285715</c:v>
                </c:pt>
                <c:pt idx="5">
                  <c:v>4484.8571428571431</c:v>
                </c:pt>
                <c:pt idx="6">
                  <c:v>4501.8285714285721</c:v>
                </c:pt>
                <c:pt idx="7">
                  <c:v>4518.8</c:v>
                </c:pt>
                <c:pt idx="8">
                  <c:v>4535.7714285714292</c:v>
                </c:pt>
                <c:pt idx="9">
                  <c:v>4552.7428571428582</c:v>
                </c:pt>
                <c:pt idx="10">
                  <c:v>4569.7142857142853</c:v>
                </c:pt>
                <c:pt idx="11">
                  <c:v>4586.6857142857143</c:v>
                </c:pt>
                <c:pt idx="12">
                  <c:v>4603.6571428571442</c:v>
                </c:pt>
                <c:pt idx="13">
                  <c:v>4620.6285714285723</c:v>
                </c:pt>
                <c:pt idx="14">
                  <c:v>4637.6000000000004</c:v>
                </c:pt>
                <c:pt idx="15">
                  <c:v>4654.5714285714294</c:v>
                </c:pt>
                <c:pt idx="16">
                  <c:v>4671.5428571428574</c:v>
                </c:pt>
                <c:pt idx="17">
                  <c:v>4688.5142857142855</c:v>
                </c:pt>
                <c:pt idx="18">
                  <c:v>4705.4857142857145</c:v>
                </c:pt>
                <c:pt idx="19">
                  <c:v>4722.4571428571444</c:v>
                </c:pt>
                <c:pt idx="20">
                  <c:v>4739.4285714285725</c:v>
                </c:pt>
                <c:pt idx="21">
                  <c:v>4756.4000000000005</c:v>
                </c:pt>
                <c:pt idx="22">
                  <c:v>4773.3714285714295</c:v>
                </c:pt>
                <c:pt idx="23">
                  <c:v>4790.3428571428576</c:v>
                </c:pt>
                <c:pt idx="24">
                  <c:v>4807.3142857142857</c:v>
                </c:pt>
                <c:pt idx="25">
                  <c:v>4824.2857142857147</c:v>
                </c:pt>
                <c:pt idx="26">
                  <c:v>4841.2571428571428</c:v>
                </c:pt>
                <c:pt idx="27">
                  <c:v>4858.2285714285726</c:v>
                </c:pt>
                <c:pt idx="28">
                  <c:v>4875.2000000000007</c:v>
                </c:pt>
                <c:pt idx="29">
                  <c:v>4892.1714285714288</c:v>
                </c:pt>
                <c:pt idx="30">
                  <c:v>4909.1428571428578</c:v>
                </c:pt>
                <c:pt idx="31">
                  <c:v>4926.1142857142859</c:v>
                </c:pt>
                <c:pt idx="32">
                  <c:v>4943.0857142857139</c:v>
                </c:pt>
                <c:pt idx="33">
                  <c:v>4960.0571428571429</c:v>
                </c:pt>
                <c:pt idx="34">
                  <c:v>4977.0285714285728</c:v>
                </c:pt>
                <c:pt idx="35">
                  <c:v>4994</c:v>
                </c:pt>
                <c:pt idx="36">
                  <c:v>5010.971428571429</c:v>
                </c:pt>
                <c:pt idx="37">
                  <c:v>5027.942857142858</c:v>
                </c:pt>
                <c:pt idx="38">
                  <c:v>5044.9142857142851</c:v>
                </c:pt>
                <c:pt idx="39">
                  <c:v>5061.8857142857141</c:v>
                </c:pt>
                <c:pt idx="40">
                  <c:v>5078.8571428571431</c:v>
                </c:pt>
                <c:pt idx="41">
                  <c:v>5095.8285714285721</c:v>
                </c:pt>
                <c:pt idx="42">
                  <c:v>5112.8</c:v>
                </c:pt>
                <c:pt idx="43">
                  <c:v>5129.7714285714292</c:v>
                </c:pt>
                <c:pt idx="44">
                  <c:v>5146.7428571428582</c:v>
                </c:pt>
                <c:pt idx="45">
                  <c:v>5163.7142857142862</c:v>
                </c:pt>
                <c:pt idx="46">
                  <c:v>5180.6857142857152</c:v>
                </c:pt>
                <c:pt idx="47">
                  <c:v>5197.6571428571433</c:v>
                </c:pt>
                <c:pt idx="48">
                  <c:v>5214.6285714285714</c:v>
                </c:pt>
                <c:pt idx="49">
                  <c:v>5231.6000000000004</c:v>
                </c:pt>
                <c:pt idx="50">
                  <c:v>5248.5714285714303</c:v>
                </c:pt>
                <c:pt idx="51">
                  <c:v>5265.5428571428574</c:v>
                </c:pt>
                <c:pt idx="52">
                  <c:v>5282.5142857142864</c:v>
                </c:pt>
                <c:pt idx="53">
                  <c:v>5299.4857142857154</c:v>
                </c:pt>
                <c:pt idx="54">
                  <c:v>5316.4571428571426</c:v>
                </c:pt>
                <c:pt idx="55">
                  <c:v>5333.4285714285716</c:v>
                </c:pt>
                <c:pt idx="56">
                  <c:v>5350.4000000000005</c:v>
                </c:pt>
                <c:pt idx="57">
                  <c:v>5367.3714285714304</c:v>
                </c:pt>
                <c:pt idx="58">
                  <c:v>5384.3428571428576</c:v>
                </c:pt>
                <c:pt idx="59">
                  <c:v>5401.3142857142866</c:v>
                </c:pt>
                <c:pt idx="60">
                  <c:v>5418.2857142857156</c:v>
                </c:pt>
                <c:pt idx="61">
                  <c:v>5435.2571428571428</c:v>
                </c:pt>
                <c:pt idx="62">
                  <c:v>5452.2285714285717</c:v>
                </c:pt>
                <c:pt idx="63">
                  <c:v>5469.2000000000007</c:v>
                </c:pt>
                <c:pt idx="64">
                  <c:v>5486.1714285714297</c:v>
                </c:pt>
                <c:pt idx="65">
                  <c:v>5503.1428571428578</c:v>
                </c:pt>
                <c:pt idx="66">
                  <c:v>5520.1142857142868</c:v>
                </c:pt>
                <c:pt idx="67">
                  <c:v>5537.0857142857149</c:v>
                </c:pt>
                <c:pt idx="68">
                  <c:v>5554.0571428571429</c:v>
                </c:pt>
                <c:pt idx="69">
                  <c:v>5571.0285714285719</c:v>
                </c:pt>
                <c:pt idx="70">
                  <c:v>5588</c:v>
                </c:pt>
                <c:pt idx="71">
                  <c:v>5604.9714285714299</c:v>
                </c:pt>
                <c:pt idx="72">
                  <c:v>5621.942857142858</c:v>
                </c:pt>
                <c:pt idx="73">
                  <c:v>5638.914285714287</c:v>
                </c:pt>
                <c:pt idx="74">
                  <c:v>5655.885714285715</c:v>
                </c:pt>
                <c:pt idx="75">
                  <c:v>5672.8571428571431</c:v>
                </c:pt>
                <c:pt idx="76">
                  <c:v>5689.8285714285721</c:v>
                </c:pt>
                <c:pt idx="77">
                  <c:v>5706.8</c:v>
                </c:pt>
                <c:pt idx="78">
                  <c:v>5723.7714285714283</c:v>
                </c:pt>
                <c:pt idx="79">
                  <c:v>5740.7428571428582</c:v>
                </c:pt>
                <c:pt idx="80">
                  <c:v>5757.7142857142853</c:v>
                </c:pt>
                <c:pt idx="81">
                  <c:v>5774.6857142857143</c:v>
                </c:pt>
                <c:pt idx="82">
                  <c:v>5791.6571428571433</c:v>
                </c:pt>
                <c:pt idx="83">
                  <c:v>5808.6285714285732</c:v>
                </c:pt>
                <c:pt idx="84">
                  <c:v>5825.6000000000013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821248"/>
        <c:axId val="336835712"/>
      </c:scatterChart>
      <c:valAx>
        <c:axId val="3368212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835712"/>
        <c:crosses val="autoZero"/>
        <c:crossBetween val="midCat"/>
      </c:valAx>
      <c:valAx>
        <c:axId val="33683571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8212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Intermediate Casing- Cement Collapse</a:t>
            </a:r>
          </a:p>
        </c:rich>
      </c:tx>
      <c:layout>
        <c:manualLayout>
          <c:xMode val="edge"/>
          <c:yMode val="edge"/>
          <c:x val="0.13872423481311411"/>
          <c:y val="0.8506050605060505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19794178871656"/>
          <c:y val="0.13250348656912936"/>
          <c:w val="0.5398727034120735"/>
          <c:h val="0.68921660834062404"/>
        </c:manualLayout>
      </c:layout>
      <c:scatterChart>
        <c:scatterStyle val="smoothMarker"/>
        <c:varyColors val="0"/>
        <c:ser>
          <c:idx val="3"/>
          <c:order val="0"/>
          <c:tx>
            <c:strRef>
              <c:f>IntermediateOutput!$AB$2</c:f>
              <c:strCache>
                <c:ptCount val="1"/>
                <c:pt idx="0">
                  <c:v>Biaxial Collapse</c:v>
                </c:pt>
              </c:strCache>
            </c:strRef>
          </c:tx>
          <c:marker>
            <c:symbol val="none"/>
          </c:marker>
          <c:xVal>
            <c:numRef>
              <c:f>IntermediateOutput!$AB$3:$AB$87</c:f>
              <c:numCache>
                <c:formatCode>General</c:formatCode>
                <c:ptCount val="85"/>
                <c:pt idx="0">
                  <c:v>3309.7480440475188</c:v>
                </c:pt>
                <c:pt idx="1">
                  <c:v>3314.582584762235</c:v>
                </c:pt>
                <c:pt idx="2">
                  <c:v>3319.3756430569547</c:v>
                </c:pt>
                <c:pt idx="3">
                  <c:v>3324.1274475970563</c:v>
                </c:pt>
                <c:pt idx="4">
                  <c:v>3328.8382252765396</c:v>
                </c:pt>
                <c:pt idx="5">
                  <c:v>3333.5082012191251</c:v>
                </c:pt>
                <c:pt idx="6">
                  <c:v>4218.4052754336435</c:v>
                </c:pt>
                <c:pt idx="7">
                  <c:v>4225.7016665937435</c:v>
                </c:pt>
                <c:pt idx="8">
                  <c:v>4232.9218313299198</c:v>
                </c:pt>
                <c:pt idx="9">
                  <c:v>4240.0663260108686</c:v>
                </c:pt>
                <c:pt idx="10">
                  <c:v>4247.1356986372866</c:v>
                </c:pt>
                <c:pt idx="11">
                  <c:v>4254.1304889344319</c:v>
                </c:pt>
                <c:pt idx="12">
                  <c:v>4261.0512284417209</c:v>
                </c:pt>
                <c:pt idx="13">
                  <c:v>4267.8984405994051</c:v>
                </c:pt>
                <c:pt idx="14">
                  <c:v>4274.6726408323539</c:v>
                </c:pt>
                <c:pt idx="15">
                  <c:v>4281.3743366310327</c:v>
                </c:pt>
                <c:pt idx="16">
                  <c:v>4288.004027629675</c:v>
                </c:pt>
                <c:pt idx="17">
                  <c:v>4294.5622056817247</c:v>
                </c:pt>
                <c:pt idx="18">
                  <c:v>4301.0493549325638</c:v>
                </c:pt>
                <c:pt idx="19">
                  <c:v>4307.4659518895851</c:v>
                </c:pt>
                <c:pt idx="20">
                  <c:v>4313.8124654896246</c:v>
                </c:pt>
                <c:pt idx="21">
                  <c:v>4320.0893571638098</c:v>
                </c:pt>
                <c:pt idx="22">
                  <c:v>4326.297080899828</c:v>
                </c:pt>
                <c:pt idx="23">
                  <c:v>4332.4360833016681</c:v>
                </c:pt>
                <c:pt idx="24">
                  <c:v>4338.5068036468592</c:v>
                </c:pt>
                <c:pt idx="25">
                  <c:v>4344.5096739412211</c:v>
                </c:pt>
                <c:pt idx="26">
                  <c:v>4350.4451189711563</c:v>
                </c:pt>
                <c:pt idx="27">
                  <c:v>4356.3135563535134</c:v>
                </c:pt>
                <c:pt idx="28">
                  <c:v>4362.1153965830372</c:v>
                </c:pt>
                <c:pt idx="29">
                  <c:v>4367.8510430774159</c:v>
                </c:pt>
                <c:pt idx="30">
                  <c:v>4373.5208922199554</c:v>
                </c:pt>
                <c:pt idx="31">
                  <c:v>4379.1253333998939</c:v>
                </c:pt>
                <c:pt idx="32">
                  <c:v>4384.664749050351</c:v>
                </c:pt>
                <c:pt idx="33">
                  <c:v>4390.1395146839677</c:v>
                </c:pt>
                <c:pt idx="34">
                  <c:v>4395.5499989261807</c:v>
                </c:pt>
                <c:pt idx="35">
                  <c:v>4400.8965635462137</c:v>
                </c:pt>
                <c:pt idx="36">
                  <c:v>4406.1795634857262</c:v>
                </c:pt>
                <c:pt idx="37">
                  <c:v>4411.3993468851768</c:v>
                </c:pt>
                <c:pt idx="38">
                  <c:v>4416.5562551078592</c:v>
                </c:pt>
                <c:pt idx="39">
                  <c:v>4421.6506227616492</c:v>
                </c:pt>
                <c:pt idx="40">
                  <c:v>4426.6827777184444</c:v>
                </c:pt>
                <c:pt idx="41">
                  <c:v>4431.6530411312897</c:v>
                </c:pt>
                <c:pt idx="42">
                  <c:v>4436.5617274491906</c:v>
                </c:pt>
                <c:pt idx="43">
                  <c:v>4441.4091444296291</c:v>
                </c:pt>
                <c:pt idx="44">
                  <c:v>4446.1955931487164</c:v>
                </c:pt>
                <c:pt idx="45">
                  <c:v>4450.9213680090534</c:v>
                </c:pt>
                <c:pt idx="46">
                  <c:v>4455.5867567452142</c:v>
                </c:pt>
                <c:pt idx="47">
                  <c:v>4460.1920404268722</c:v>
                </c:pt>
                <c:pt idx="48">
                  <c:v>4464.7374934595746</c:v>
                </c:pt>
                <c:pt idx="49">
                  <c:v>4469.2233835830975</c:v>
                </c:pt>
                <c:pt idx="50">
                  <c:v>4473.6499718673958</c:v>
                </c:pt>
                <c:pt idx="51">
                  <c:v>4478.0175127061275</c:v>
                </c:pt>
                <c:pt idx="52">
                  <c:v>4482.3262538077206</c:v>
                </c:pt>
                <c:pt idx="53">
                  <c:v>4486.5764361839392</c:v>
                </c:pt>
                <c:pt idx="54">
                  <c:v>4490.7682941359653</c:v>
                </c:pt>
                <c:pt idx="55">
                  <c:v>4494.9020552379161</c:v>
                </c:pt>
                <c:pt idx="56">
                  <c:v>4498.9779403178063</c:v>
                </c:pt>
                <c:pt idx="57">
                  <c:v>4502.9961634358833</c:v>
                </c:pt>
                <c:pt idx="58">
                  <c:v>4506.9569318603453</c:v>
                </c:pt>
                <c:pt idx="59">
                  <c:v>4510.8604460403376</c:v>
                </c:pt>
                <c:pt idx="60">
                  <c:v>4514.706899576252</c:v>
                </c:pt>
                <c:pt idx="61">
                  <c:v>4518.4964791872362</c:v>
                </c:pt>
                <c:pt idx="62">
                  <c:v>4522.2293646758899</c:v>
                </c:pt>
                <c:pt idx="63">
                  <c:v>4525.9057288900876</c:v>
                </c:pt>
                <c:pt idx="64">
                  <c:v>4529.5257376818763</c:v>
                </c:pt>
                <c:pt idx="65">
                  <c:v>4533.0895498633909</c:v>
                </c:pt>
                <c:pt idx="66">
                  <c:v>4536.5973171597316</c:v>
                </c:pt>
                <c:pt idx="67">
                  <c:v>4540.0491841587282</c:v>
                </c:pt>
                <c:pt idx="68">
                  <c:v>4543.4452882575542</c:v>
                </c:pt>
                <c:pt idx="69">
                  <c:v>4546.7857596060639</c:v>
                </c:pt>
                <c:pt idx="70">
                  <c:v>4550.0707210468563</c:v>
                </c:pt>
                <c:pt idx="71">
                  <c:v>4977.9899425287676</c:v>
                </c:pt>
                <c:pt idx="72">
                  <c:v>4980.5928563123698</c:v>
                </c:pt>
                <c:pt idx="73">
                  <c:v>4983.1605581944896</c:v>
                </c:pt>
                <c:pt idx="74">
                  <c:v>4985.6932248104395</c:v>
                </c:pt>
                <c:pt idx="75">
                  <c:v>4988.1910294070349</c:v>
                </c:pt>
                <c:pt idx="76">
                  <c:v>4990.6541418289798</c:v>
                </c:pt>
                <c:pt idx="77">
                  <c:v>4993.0827285042715</c:v>
                </c:pt>
                <c:pt idx="78">
                  <c:v>4995.4769524286094</c:v>
                </c:pt>
                <c:pt idx="79">
                  <c:v>4997.836973148771</c:v>
                </c:pt>
                <c:pt idx="80">
                  <c:v>5000.162946744972</c:v>
                </c:pt>
                <c:pt idx="81">
                  <c:v>5002.4550258121571</c:v>
                </c:pt>
                <c:pt idx="82">
                  <c:v>5004.7133594402421</c:v>
                </c:pt>
                <c:pt idx="83">
                  <c:v>5006.938093193251</c:v>
                </c:pt>
                <c:pt idx="84">
                  <c:v>5009.1293690873554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IntermediateOutput!$AC$2</c:f>
              <c:strCache>
                <c:ptCount val="1"/>
                <c:pt idx="0">
                  <c:v>Collapse</c:v>
                </c:pt>
              </c:strCache>
            </c:strRef>
          </c:tx>
          <c:marker>
            <c:symbol val="none"/>
          </c:marker>
          <c:xVal>
            <c:numRef>
              <c:f>IntermediateOutput!$AC$3:$AC$87</c:f>
              <c:numCache>
                <c:formatCode>General</c:formatCode>
                <c:ptCount val="85"/>
                <c:pt idx="0">
                  <c:v>0</c:v>
                </c:pt>
                <c:pt idx="1">
                  <c:v>55.428571428571423</c:v>
                </c:pt>
                <c:pt idx="2">
                  <c:v>110.85714285714285</c:v>
                </c:pt>
                <c:pt idx="3">
                  <c:v>166.28571428571428</c:v>
                </c:pt>
                <c:pt idx="4">
                  <c:v>221.71428571428569</c:v>
                </c:pt>
                <c:pt idx="5">
                  <c:v>277.14285714285717</c:v>
                </c:pt>
                <c:pt idx="6">
                  <c:v>332.57142857142856</c:v>
                </c:pt>
                <c:pt idx="7">
                  <c:v>388</c:v>
                </c:pt>
                <c:pt idx="8">
                  <c:v>443.42857142857139</c:v>
                </c:pt>
                <c:pt idx="9">
                  <c:v>498.85714285714289</c:v>
                </c:pt>
                <c:pt idx="10">
                  <c:v>554.28571428571433</c:v>
                </c:pt>
                <c:pt idx="11">
                  <c:v>609.71428571428567</c:v>
                </c:pt>
                <c:pt idx="12">
                  <c:v>665.14285714285711</c:v>
                </c:pt>
                <c:pt idx="13">
                  <c:v>720.57142857142867</c:v>
                </c:pt>
                <c:pt idx="14">
                  <c:v>776</c:v>
                </c:pt>
                <c:pt idx="15">
                  <c:v>831.42857142857144</c:v>
                </c:pt>
                <c:pt idx="16">
                  <c:v>886.85714285714278</c:v>
                </c:pt>
                <c:pt idx="17">
                  <c:v>942.28571428571422</c:v>
                </c:pt>
                <c:pt idx="18">
                  <c:v>997.71428571428578</c:v>
                </c:pt>
                <c:pt idx="19">
                  <c:v>1053.1428571428571</c:v>
                </c:pt>
                <c:pt idx="20">
                  <c:v>1108.5714285714287</c:v>
                </c:pt>
                <c:pt idx="21">
                  <c:v>1164</c:v>
                </c:pt>
                <c:pt idx="22">
                  <c:v>1219.4285714285713</c:v>
                </c:pt>
                <c:pt idx="23">
                  <c:v>1274.8571428571429</c:v>
                </c:pt>
                <c:pt idx="24">
                  <c:v>1330.2857142857142</c:v>
                </c:pt>
                <c:pt idx="25">
                  <c:v>1385.7142857142858</c:v>
                </c:pt>
                <c:pt idx="26">
                  <c:v>1441.1428571428573</c:v>
                </c:pt>
                <c:pt idx="27">
                  <c:v>1496.5714285714284</c:v>
                </c:pt>
                <c:pt idx="28">
                  <c:v>1552</c:v>
                </c:pt>
                <c:pt idx="29">
                  <c:v>1607.4285714285713</c:v>
                </c:pt>
                <c:pt idx="30">
                  <c:v>1662.8571428571429</c:v>
                </c:pt>
                <c:pt idx="31">
                  <c:v>1718.2857142857144</c:v>
                </c:pt>
                <c:pt idx="32">
                  <c:v>1773.7142857142856</c:v>
                </c:pt>
                <c:pt idx="33">
                  <c:v>1829.1428571428571</c:v>
                </c:pt>
                <c:pt idx="34">
                  <c:v>1884.5714285714284</c:v>
                </c:pt>
                <c:pt idx="35">
                  <c:v>1940</c:v>
                </c:pt>
                <c:pt idx="36">
                  <c:v>1995.4285714285716</c:v>
                </c:pt>
                <c:pt idx="37">
                  <c:v>2050.8571428571431</c:v>
                </c:pt>
                <c:pt idx="38">
                  <c:v>2106.2857142857142</c:v>
                </c:pt>
                <c:pt idx="39">
                  <c:v>2161.7142857142858</c:v>
                </c:pt>
                <c:pt idx="40">
                  <c:v>2217.1428571428573</c:v>
                </c:pt>
                <c:pt idx="41">
                  <c:v>2272.5714285714284</c:v>
                </c:pt>
                <c:pt idx="42">
                  <c:v>2328</c:v>
                </c:pt>
                <c:pt idx="43">
                  <c:v>2383.4285714285711</c:v>
                </c:pt>
                <c:pt idx="44">
                  <c:v>2438.8571428571427</c:v>
                </c:pt>
                <c:pt idx="45">
                  <c:v>2494.2857142857142</c:v>
                </c:pt>
                <c:pt idx="46">
                  <c:v>2549.7142857142858</c:v>
                </c:pt>
                <c:pt idx="47">
                  <c:v>2605.1428571428573</c:v>
                </c:pt>
                <c:pt idx="48">
                  <c:v>2660.5714285714284</c:v>
                </c:pt>
                <c:pt idx="49">
                  <c:v>2716</c:v>
                </c:pt>
                <c:pt idx="50">
                  <c:v>2771.4285714285716</c:v>
                </c:pt>
                <c:pt idx="51">
                  <c:v>2826.8571428571431</c:v>
                </c:pt>
                <c:pt idx="52">
                  <c:v>2882.2857142857147</c:v>
                </c:pt>
                <c:pt idx="53">
                  <c:v>2937.7142857142853</c:v>
                </c:pt>
                <c:pt idx="54">
                  <c:v>2993.1428571428569</c:v>
                </c:pt>
                <c:pt idx="55">
                  <c:v>3048.5714285714284</c:v>
                </c:pt>
                <c:pt idx="56">
                  <c:v>3104</c:v>
                </c:pt>
                <c:pt idx="57">
                  <c:v>3159.4285714285716</c:v>
                </c:pt>
                <c:pt idx="58">
                  <c:v>3214.8571428571427</c:v>
                </c:pt>
                <c:pt idx="59">
                  <c:v>3270.2857142857142</c:v>
                </c:pt>
                <c:pt idx="60">
                  <c:v>3325.7142857142858</c:v>
                </c:pt>
                <c:pt idx="61">
                  <c:v>3381.1428571428573</c:v>
                </c:pt>
                <c:pt idx="62">
                  <c:v>3436.5714285714289</c:v>
                </c:pt>
                <c:pt idx="63">
                  <c:v>3492.0000000000005</c:v>
                </c:pt>
                <c:pt idx="64">
                  <c:v>3547.4285714285711</c:v>
                </c:pt>
                <c:pt idx="65">
                  <c:v>3602.8571428571427</c:v>
                </c:pt>
                <c:pt idx="66">
                  <c:v>3658.2857142857142</c:v>
                </c:pt>
                <c:pt idx="67">
                  <c:v>3713.7142857142858</c:v>
                </c:pt>
                <c:pt idx="68">
                  <c:v>3769.1428571428569</c:v>
                </c:pt>
                <c:pt idx="69">
                  <c:v>3824.5714285714284</c:v>
                </c:pt>
                <c:pt idx="70">
                  <c:v>3880</c:v>
                </c:pt>
                <c:pt idx="71">
                  <c:v>3935.4285714285716</c:v>
                </c:pt>
                <c:pt idx="72">
                  <c:v>3990.8571428571431</c:v>
                </c:pt>
                <c:pt idx="73">
                  <c:v>4046.2857142857147</c:v>
                </c:pt>
                <c:pt idx="74">
                  <c:v>4101.7142857142862</c:v>
                </c:pt>
                <c:pt idx="75">
                  <c:v>4157.1428571428578</c:v>
                </c:pt>
                <c:pt idx="76">
                  <c:v>4212.5714285714284</c:v>
                </c:pt>
                <c:pt idx="77">
                  <c:v>4268</c:v>
                </c:pt>
                <c:pt idx="78">
                  <c:v>4323.4285714285716</c:v>
                </c:pt>
                <c:pt idx="79">
                  <c:v>4378.8571428571431</c:v>
                </c:pt>
                <c:pt idx="80">
                  <c:v>4434.2857142857147</c:v>
                </c:pt>
                <c:pt idx="81">
                  <c:v>4489.7142857142853</c:v>
                </c:pt>
                <c:pt idx="82">
                  <c:v>4545.1428571428569</c:v>
                </c:pt>
                <c:pt idx="83">
                  <c:v>4600.5714285714284</c:v>
                </c:pt>
                <c:pt idx="84">
                  <c:v>4656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117184"/>
        <c:axId val="337119104"/>
      </c:scatterChart>
      <c:valAx>
        <c:axId val="33711718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119104"/>
        <c:crosses val="autoZero"/>
        <c:crossBetween val="midCat"/>
      </c:valAx>
      <c:valAx>
        <c:axId val="33711910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117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Intermediate Casing- Evacuated Collapse</a:t>
            </a:r>
          </a:p>
        </c:rich>
      </c:tx>
      <c:layout>
        <c:manualLayout>
          <c:xMode val="edge"/>
          <c:yMode val="edge"/>
          <c:x val="0.12045939463046572"/>
          <c:y val="0.859405940594059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19794178871656"/>
          <c:y val="0.13250348656912936"/>
          <c:w val="0.5398727034120735"/>
          <c:h val="0.68921660834062404"/>
        </c:manualLayout>
      </c:layout>
      <c:scatterChart>
        <c:scatterStyle val="smoothMarker"/>
        <c:varyColors val="0"/>
        <c:ser>
          <c:idx val="3"/>
          <c:order val="0"/>
          <c:tx>
            <c:strRef>
              <c:f>IntermediateOutput!$AI$2</c:f>
              <c:strCache>
                <c:ptCount val="1"/>
                <c:pt idx="0">
                  <c:v>Biaxial Collapse</c:v>
                </c:pt>
              </c:strCache>
            </c:strRef>
          </c:tx>
          <c:marker>
            <c:symbol val="none"/>
          </c:marker>
          <c:xVal>
            <c:numRef>
              <c:f>IntermediateOutput!$AI$3:$AI$87</c:f>
              <c:numCache>
                <c:formatCode>General</c:formatCode>
                <c:ptCount val="85"/>
                <c:pt idx="0">
                  <c:v>3152.1688957083179</c:v>
                </c:pt>
                <c:pt idx="1">
                  <c:v>3155.6216195268657</c:v>
                </c:pt>
                <c:pt idx="2">
                  <c:v>3159.018449638977</c:v>
                </c:pt>
                <c:pt idx="3">
                  <c:v>3162.3600375947794</c:v>
                </c:pt>
                <c:pt idx="4">
                  <c:v>3165.6470282804466</c:v>
                </c:pt>
                <c:pt idx="5">
                  <c:v>3168.8800600250511</c:v>
                </c:pt>
                <c:pt idx="6">
                  <c:v>3955.1929814939667</c:v>
                </c:pt>
                <c:pt idx="7">
                  <c:v>3965.1376285057968</c:v>
                </c:pt>
                <c:pt idx="8">
                  <c:v>3974.9843614215406</c:v>
                </c:pt>
                <c:pt idx="9">
                  <c:v>3984.7340558269457</c:v>
                </c:pt>
                <c:pt idx="10">
                  <c:v>3994.3875742814344</c:v>
                </c:pt>
                <c:pt idx="11">
                  <c:v>4003.9457665419254</c:v>
                </c:pt>
                <c:pt idx="12">
                  <c:v>4013.4094697805258</c:v>
                </c:pt>
                <c:pt idx="13">
                  <c:v>4022.7795087962909</c:v>
                </c:pt>
                <c:pt idx="14">
                  <c:v>4032.0566962211874</c:v>
                </c:pt>
                <c:pt idx="15">
                  <c:v>4041.2418327204546</c:v>
                </c:pt>
                <c:pt idx="16">
                  <c:v>4050.3357071874816</c:v>
                </c:pt>
                <c:pt idx="17">
                  <c:v>4059.3390969333641</c:v>
                </c:pt>
                <c:pt idx="18">
                  <c:v>4068.2527678712918</c:v>
                </c:pt>
                <c:pt idx="19">
                  <c:v>4077.0774746958855</c:v>
                </c:pt>
                <c:pt idx="20">
                  <c:v>4085.8139610576259</c:v>
                </c:pt>
                <c:pt idx="21">
                  <c:v>4094.4629597324938</c:v>
                </c:pt>
                <c:pt idx="22">
                  <c:v>4103.0251927869504</c:v>
                </c:pt>
                <c:pt idx="23">
                  <c:v>4111.5013717383727</c:v>
                </c:pt>
                <c:pt idx="24">
                  <c:v>4119.8921977110576</c:v>
                </c:pt>
                <c:pt idx="25">
                  <c:v>4128.1983615878898</c:v>
                </c:pt>
                <c:pt idx="26">
                  <c:v>4136.4205441578106</c:v>
                </c:pt>
                <c:pt idx="27">
                  <c:v>4144.5594162591469</c:v>
                </c:pt>
                <c:pt idx="28">
                  <c:v>4152.61563891893</c:v>
                </c:pt>
                <c:pt idx="29">
                  <c:v>4160.589863488286</c:v>
                </c:pt>
                <c:pt idx="30">
                  <c:v>4168.4827317739746</c:v>
                </c:pt>
                <c:pt idx="31">
                  <c:v>4176.2948761661837</c:v>
                </c:pt>
                <c:pt idx="32">
                  <c:v>4184.0269197626594</c:v>
                </c:pt>
                <c:pt idx="33">
                  <c:v>4191.6794764892247</c:v>
                </c:pt>
                <c:pt idx="34">
                  <c:v>4199.2531512168016</c:v>
                </c:pt>
                <c:pt idx="35">
                  <c:v>4206.748539874985</c:v>
                </c:pt>
                <c:pt idx="36">
                  <c:v>4214.1662295622418</c:v>
                </c:pt>
                <c:pt idx="37">
                  <c:v>4221.506798652812</c:v>
                </c:pt>
                <c:pt idx="38">
                  <c:v>4228.7708169003699</c:v>
                </c:pt>
                <c:pt idx="39">
                  <c:v>4235.9588455385092</c:v>
                </c:pt>
                <c:pt idx="40">
                  <c:v>4243.0714373781066</c:v>
                </c:pt>
                <c:pt idx="41">
                  <c:v>4250.1091369016322</c:v>
                </c:pt>
                <c:pt idx="42">
                  <c:v>4257.0724803544517</c:v>
                </c:pt>
                <c:pt idx="43">
                  <c:v>4263.961995833175</c:v>
                </c:pt>
                <c:pt idx="44">
                  <c:v>4270.7782033711001</c:v>
                </c:pt>
                <c:pt idx="45">
                  <c:v>4277.5216150208053</c:v>
                </c:pt>
                <c:pt idx="46">
                  <c:v>4284.1927349339358</c:v>
                </c:pt>
                <c:pt idx="47">
                  <c:v>4290.7920594382012</c:v>
                </c:pt>
                <c:pt idx="48">
                  <c:v>4297.3200771116781</c:v>
                </c:pt>
                <c:pt idx="49">
                  <c:v>4303.7772688543973</c:v>
                </c:pt>
                <c:pt idx="50">
                  <c:v>4310.164107957301</c:v>
                </c:pt>
                <c:pt idx="51">
                  <c:v>4316.4810601685685</c:v>
                </c:pt>
                <c:pt idx="52">
                  <c:v>4322.7285837573709</c:v>
                </c:pt>
                <c:pt idx="53">
                  <c:v>4328.9071295750682</c:v>
                </c:pt>
                <c:pt idx="54">
                  <c:v>4335.0171411138808</c:v>
                </c:pt>
                <c:pt idx="55">
                  <c:v>4341.0590545630785</c:v>
                </c:pt>
                <c:pt idx="56">
                  <c:v>4347.033298862676</c:v>
                </c:pt>
                <c:pt idx="57">
                  <c:v>4352.9402957546999</c:v>
                </c:pt>
                <c:pt idx="58">
                  <c:v>4358.7804598320308</c:v>
                </c:pt>
                <c:pt idx="59">
                  <c:v>4364.5541985848222</c:v>
                </c:pt>
                <c:pt idx="60">
                  <c:v>4370.2619124445464</c:v>
                </c:pt>
                <c:pt idx="61">
                  <c:v>4375.9039948256668</c:v>
                </c:pt>
                <c:pt idx="62">
                  <c:v>4381.4808321649498</c:v>
                </c:pt>
                <c:pt idx="63">
                  <c:v>4386.9928039584311</c:v>
                </c:pt>
                <c:pt idx="64">
                  <c:v>4392.4402827960521</c:v>
                </c:pt>
                <c:pt idx="65">
                  <c:v>4397.8236343939661</c:v>
                </c:pt>
                <c:pt idx="66">
                  <c:v>4403.1432176245416</c:v>
                </c:pt>
                <c:pt idx="67">
                  <c:v>4408.39938454403</c:v>
                </c:pt>
                <c:pt idx="68">
                  <c:v>4413.592480417954</c:v>
                </c:pt>
                <c:pt idx="69">
                  <c:v>4418.7228437441672</c:v>
                </c:pt>
                <c:pt idx="70">
                  <c:v>4423.7908062736306</c:v>
                </c:pt>
                <c:pt idx="71">
                  <c:v>4880.3319825661865</c:v>
                </c:pt>
                <c:pt idx="72">
                  <c:v>4884.114253917367</c:v>
                </c:pt>
                <c:pt idx="73">
                  <c:v>4887.8543081755306</c:v>
                </c:pt>
                <c:pt idx="74">
                  <c:v>4891.5524237065574</c:v>
                </c:pt>
                <c:pt idx="75">
                  <c:v>4895.2088754804508</c:v>
                </c:pt>
                <c:pt idx="76">
                  <c:v>4898.8239350836529</c:v>
                </c:pt>
                <c:pt idx="77">
                  <c:v>4902.3978707305841</c:v>
                </c:pt>
                <c:pt idx="78">
                  <c:v>4905.930947274378</c:v>
                </c:pt>
                <c:pt idx="79">
                  <c:v>4909.4234262168266</c:v>
                </c:pt>
                <c:pt idx="80">
                  <c:v>4912.8755657175252</c:v>
                </c:pt>
                <c:pt idx="81">
                  <c:v>4916.2876206022474</c:v>
                </c:pt>
                <c:pt idx="82">
                  <c:v>4919.6598423704881</c:v>
                </c:pt>
                <c:pt idx="83">
                  <c:v>4922.9924792022457</c:v>
                </c:pt>
                <c:pt idx="84">
                  <c:v>4926.2857759639755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IntermediateOutput!$AJ$2</c:f>
              <c:strCache>
                <c:ptCount val="1"/>
                <c:pt idx="0">
                  <c:v>Collapse</c:v>
                </c:pt>
              </c:strCache>
            </c:strRef>
          </c:tx>
          <c:marker>
            <c:symbol val="none"/>
          </c:marker>
          <c:xVal>
            <c:numRef>
              <c:f>IntermediateOutput!$AJ$3:$AJ$87</c:f>
              <c:numCache>
                <c:formatCode>General</c:formatCode>
                <c:ptCount val="85"/>
                <c:pt idx="0">
                  <c:v>0</c:v>
                </c:pt>
                <c:pt idx="1">
                  <c:v>7.8285714285714203</c:v>
                </c:pt>
                <c:pt idx="2">
                  <c:v>15.657142857142841</c:v>
                </c:pt>
                <c:pt idx="3">
                  <c:v>23.485714285714284</c:v>
                </c:pt>
                <c:pt idx="4">
                  <c:v>31.314285714285681</c:v>
                </c:pt>
                <c:pt idx="5">
                  <c:v>39.14285714285711</c:v>
                </c:pt>
                <c:pt idx="6">
                  <c:v>46.971428571428568</c:v>
                </c:pt>
                <c:pt idx="7">
                  <c:v>54.799999999999933</c:v>
                </c:pt>
                <c:pt idx="8">
                  <c:v>62.628571428571362</c:v>
                </c:pt>
                <c:pt idx="9">
                  <c:v>70.457142857142856</c:v>
                </c:pt>
                <c:pt idx="10">
                  <c:v>78.285714285714221</c:v>
                </c:pt>
                <c:pt idx="11">
                  <c:v>86.114285714285643</c:v>
                </c:pt>
                <c:pt idx="12">
                  <c:v>93.942857142857136</c:v>
                </c:pt>
                <c:pt idx="13">
                  <c:v>101.77142857142863</c:v>
                </c:pt>
                <c:pt idx="14">
                  <c:v>109.59999999999987</c:v>
                </c:pt>
                <c:pt idx="15">
                  <c:v>117.42857142857136</c:v>
                </c:pt>
                <c:pt idx="16">
                  <c:v>125.25714285714272</c:v>
                </c:pt>
                <c:pt idx="17">
                  <c:v>133.08571428571423</c:v>
                </c:pt>
                <c:pt idx="18">
                  <c:v>140.91428571428571</c:v>
                </c:pt>
                <c:pt idx="19">
                  <c:v>148.74285714285696</c:v>
                </c:pt>
                <c:pt idx="20">
                  <c:v>156.57142857142844</c:v>
                </c:pt>
                <c:pt idx="21">
                  <c:v>164.39999999999981</c:v>
                </c:pt>
                <c:pt idx="22">
                  <c:v>172.22857142857129</c:v>
                </c:pt>
                <c:pt idx="23">
                  <c:v>180.05714285714279</c:v>
                </c:pt>
                <c:pt idx="24">
                  <c:v>187.88571428571427</c:v>
                </c:pt>
                <c:pt idx="25">
                  <c:v>195.71428571428578</c:v>
                </c:pt>
                <c:pt idx="26">
                  <c:v>203.54285714285726</c:v>
                </c:pt>
                <c:pt idx="27">
                  <c:v>211.37142857142851</c:v>
                </c:pt>
                <c:pt idx="28">
                  <c:v>219.19999999999973</c:v>
                </c:pt>
                <c:pt idx="29">
                  <c:v>227.02857142857124</c:v>
                </c:pt>
                <c:pt idx="30">
                  <c:v>234.85714285714272</c:v>
                </c:pt>
                <c:pt idx="31">
                  <c:v>242.68571428571423</c:v>
                </c:pt>
                <c:pt idx="32">
                  <c:v>250.51428571428545</c:v>
                </c:pt>
                <c:pt idx="33">
                  <c:v>258.34285714285693</c:v>
                </c:pt>
                <c:pt idx="34">
                  <c:v>266.17142857142846</c:v>
                </c:pt>
                <c:pt idx="35">
                  <c:v>273.99999999999994</c:v>
                </c:pt>
                <c:pt idx="36">
                  <c:v>281.82857142857142</c:v>
                </c:pt>
                <c:pt idx="37">
                  <c:v>289.6571428571429</c:v>
                </c:pt>
                <c:pt idx="38">
                  <c:v>297.48571428571393</c:v>
                </c:pt>
                <c:pt idx="39">
                  <c:v>305.3142857142854</c:v>
                </c:pt>
                <c:pt idx="40">
                  <c:v>313.14285714285688</c:v>
                </c:pt>
                <c:pt idx="41">
                  <c:v>343.82857142857108</c:v>
                </c:pt>
                <c:pt idx="42">
                  <c:v>374.51428571428551</c:v>
                </c:pt>
                <c:pt idx="43">
                  <c:v>405.19999999999993</c:v>
                </c:pt>
                <c:pt idx="44">
                  <c:v>435.88571428571436</c:v>
                </c:pt>
                <c:pt idx="45">
                  <c:v>466.57142857142827</c:v>
                </c:pt>
                <c:pt idx="46">
                  <c:v>497.2571428571427</c:v>
                </c:pt>
                <c:pt idx="47">
                  <c:v>527.94285714285718</c:v>
                </c:pt>
                <c:pt idx="48">
                  <c:v>558.6285714285716</c:v>
                </c:pt>
                <c:pt idx="49">
                  <c:v>589.31428571428523</c:v>
                </c:pt>
                <c:pt idx="50">
                  <c:v>619.99999999999989</c:v>
                </c:pt>
                <c:pt idx="51">
                  <c:v>650.68571428571408</c:v>
                </c:pt>
                <c:pt idx="52">
                  <c:v>681.37142857142874</c:v>
                </c:pt>
                <c:pt idx="53">
                  <c:v>712.05714285714248</c:v>
                </c:pt>
                <c:pt idx="54">
                  <c:v>742.74285714285713</c:v>
                </c:pt>
                <c:pt idx="55">
                  <c:v>773.42857142857133</c:v>
                </c:pt>
                <c:pt idx="56">
                  <c:v>804.11428571428553</c:v>
                </c:pt>
                <c:pt idx="57">
                  <c:v>834.79999999999961</c:v>
                </c:pt>
                <c:pt idx="58">
                  <c:v>865.48571428571381</c:v>
                </c:pt>
                <c:pt idx="59">
                  <c:v>896.17142857142846</c:v>
                </c:pt>
                <c:pt idx="60">
                  <c:v>926.85714285714266</c:v>
                </c:pt>
                <c:pt idx="61">
                  <c:v>957.54285714285686</c:v>
                </c:pt>
                <c:pt idx="62">
                  <c:v>988.22857142857106</c:v>
                </c:pt>
                <c:pt idx="63">
                  <c:v>1018.9142857142857</c:v>
                </c:pt>
                <c:pt idx="64">
                  <c:v>1049.5999999999999</c:v>
                </c:pt>
                <c:pt idx="65">
                  <c:v>1080.2857142857135</c:v>
                </c:pt>
                <c:pt idx="66">
                  <c:v>1110.9714285714283</c:v>
                </c:pt>
                <c:pt idx="67">
                  <c:v>1141.6571428571424</c:v>
                </c:pt>
                <c:pt idx="68">
                  <c:v>1172.3428571428572</c:v>
                </c:pt>
                <c:pt idx="69">
                  <c:v>1203.0285714285708</c:v>
                </c:pt>
                <c:pt idx="70">
                  <c:v>1233.714285714286</c:v>
                </c:pt>
                <c:pt idx="71">
                  <c:v>1264.4000000000001</c:v>
                </c:pt>
                <c:pt idx="72">
                  <c:v>1295.0857142857137</c:v>
                </c:pt>
                <c:pt idx="73">
                  <c:v>1325.771428571428</c:v>
                </c:pt>
                <c:pt idx="74">
                  <c:v>1356.4571428571426</c:v>
                </c:pt>
                <c:pt idx="75">
                  <c:v>1387.1428571428569</c:v>
                </c:pt>
                <c:pt idx="76">
                  <c:v>1424.6857142857136</c:v>
                </c:pt>
                <c:pt idx="77">
                  <c:v>1462.2285714285717</c:v>
                </c:pt>
                <c:pt idx="78">
                  <c:v>1499.7714285714283</c:v>
                </c:pt>
                <c:pt idx="79">
                  <c:v>1537.3142857142855</c:v>
                </c:pt>
                <c:pt idx="80">
                  <c:v>1574.8571428571422</c:v>
                </c:pt>
                <c:pt idx="81">
                  <c:v>1612.4000000000003</c:v>
                </c:pt>
                <c:pt idx="82">
                  <c:v>1649.9428571428571</c:v>
                </c:pt>
                <c:pt idx="83">
                  <c:v>1687.485714285714</c:v>
                </c:pt>
                <c:pt idx="84">
                  <c:v>1725.0285714285708</c:v>
                </c:pt>
              </c:numCache>
            </c:numRef>
          </c:xVal>
          <c:yVal>
            <c:numRef>
              <c:f>IntermediateOutput!$A$3:$A$87</c:f>
              <c:numCache>
                <c:formatCode>General</c:formatCode>
                <c:ptCount val="85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167872"/>
        <c:axId val="337169792"/>
      </c:scatterChart>
      <c:valAx>
        <c:axId val="33716787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169792"/>
        <c:crosses val="autoZero"/>
        <c:crossBetween val="midCat"/>
      </c:valAx>
      <c:valAx>
        <c:axId val="33716979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167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Production Casing-</a:t>
            </a:r>
            <a:r>
              <a:rPr lang="en-US" baseline="0"/>
              <a:t> Pressure Testing</a:t>
            </a:r>
            <a:endParaRPr lang="en-US"/>
          </a:p>
        </c:rich>
      </c:tx>
      <c:layout>
        <c:manualLayout>
          <c:xMode val="edge"/>
          <c:yMode val="edge"/>
          <c:x val="6.5868110236220467E-2"/>
          <c:y val="0.8379629629629629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47462817147855"/>
          <c:y val="0.21403579760863226"/>
          <c:w val="0.47369072615923008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ProductionCasingOutput!$B$2</c:f>
              <c:strCache>
                <c:ptCount val="1"/>
                <c:pt idx="0">
                  <c:v>Pipe Tens. Strength</c:v>
                </c:pt>
              </c:strCache>
            </c:strRef>
          </c:tx>
          <c:marker>
            <c:symbol val="none"/>
          </c:marker>
          <c:xVal>
            <c:numRef>
              <c:f>ProductionCasingOutput!$B$3:$B$111</c:f>
              <c:numCache>
                <c:formatCode>General</c:formatCode>
                <c:ptCount val="109"/>
                <c:pt idx="0">
                  <c:v>940000</c:v>
                </c:pt>
                <c:pt idx="1">
                  <c:v>940000</c:v>
                </c:pt>
                <c:pt idx="2">
                  <c:v>940000</c:v>
                </c:pt>
                <c:pt idx="3">
                  <c:v>940000</c:v>
                </c:pt>
                <c:pt idx="4">
                  <c:v>940000</c:v>
                </c:pt>
                <c:pt idx="5">
                  <c:v>940000</c:v>
                </c:pt>
                <c:pt idx="6">
                  <c:v>940000</c:v>
                </c:pt>
                <c:pt idx="7">
                  <c:v>940000</c:v>
                </c:pt>
                <c:pt idx="8">
                  <c:v>940000</c:v>
                </c:pt>
                <c:pt idx="9">
                  <c:v>940000</c:v>
                </c:pt>
                <c:pt idx="10">
                  <c:v>940000</c:v>
                </c:pt>
                <c:pt idx="11">
                  <c:v>940000</c:v>
                </c:pt>
                <c:pt idx="12">
                  <c:v>940000</c:v>
                </c:pt>
                <c:pt idx="13">
                  <c:v>895000</c:v>
                </c:pt>
                <c:pt idx="14">
                  <c:v>895000</c:v>
                </c:pt>
                <c:pt idx="15">
                  <c:v>895000</c:v>
                </c:pt>
                <c:pt idx="16">
                  <c:v>895000</c:v>
                </c:pt>
                <c:pt idx="17">
                  <c:v>895000</c:v>
                </c:pt>
                <c:pt idx="18">
                  <c:v>895000</c:v>
                </c:pt>
                <c:pt idx="19">
                  <c:v>895000</c:v>
                </c:pt>
                <c:pt idx="20">
                  <c:v>895000</c:v>
                </c:pt>
                <c:pt idx="21">
                  <c:v>895000</c:v>
                </c:pt>
                <c:pt idx="22">
                  <c:v>895000</c:v>
                </c:pt>
                <c:pt idx="23">
                  <c:v>895000</c:v>
                </c:pt>
                <c:pt idx="24">
                  <c:v>895000</c:v>
                </c:pt>
                <c:pt idx="25">
                  <c:v>895000</c:v>
                </c:pt>
                <c:pt idx="26">
                  <c:v>895000</c:v>
                </c:pt>
                <c:pt idx="27">
                  <c:v>895000</c:v>
                </c:pt>
                <c:pt idx="28">
                  <c:v>895000</c:v>
                </c:pt>
                <c:pt idx="29">
                  <c:v>895000</c:v>
                </c:pt>
                <c:pt idx="30">
                  <c:v>895000</c:v>
                </c:pt>
                <c:pt idx="31">
                  <c:v>895000</c:v>
                </c:pt>
                <c:pt idx="32">
                  <c:v>895000</c:v>
                </c:pt>
                <c:pt idx="33">
                  <c:v>778000</c:v>
                </c:pt>
                <c:pt idx="34">
                  <c:v>778000</c:v>
                </c:pt>
                <c:pt idx="35">
                  <c:v>778000</c:v>
                </c:pt>
                <c:pt idx="36">
                  <c:v>778000</c:v>
                </c:pt>
                <c:pt idx="37">
                  <c:v>778000</c:v>
                </c:pt>
                <c:pt idx="38">
                  <c:v>778000</c:v>
                </c:pt>
                <c:pt idx="39">
                  <c:v>778000</c:v>
                </c:pt>
                <c:pt idx="40">
                  <c:v>778000</c:v>
                </c:pt>
                <c:pt idx="41">
                  <c:v>778000</c:v>
                </c:pt>
                <c:pt idx="42">
                  <c:v>778000</c:v>
                </c:pt>
                <c:pt idx="43">
                  <c:v>778000</c:v>
                </c:pt>
                <c:pt idx="44">
                  <c:v>778000</c:v>
                </c:pt>
                <c:pt idx="45">
                  <c:v>778000</c:v>
                </c:pt>
                <c:pt idx="46">
                  <c:v>778000</c:v>
                </c:pt>
                <c:pt idx="47">
                  <c:v>778000</c:v>
                </c:pt>
                <c:pt idx="48">
                  <c:v>714000</c:v>
                </c:pt>
                <c:pt idx="49">
                  <c:v>714000</c:v>
                </c:pt>
                <c:pt idx="50">
                  <c:v>714000</c:v>
                </c:pt>
                <c:pt idx="51">
                  <c:v>714000</c:v>
                </c:pt>
                <c:pt idx="52">
                  <c:v>714000</c:v>
                </c:pt>
                <c:pt idx="53">
                  <c:v>714000</c:v>
                </c:pt>
                <c:pt idx="54">
                  <c:v>714000</c:v>
                </c:pt>
                <c:pt idx="55">
                  <c:v>714000</c:v>
                </c:pt>
                <c:pt idx="56">
                  <c:v>714000</c:v>
                </c:pt>
                <c:pt idx="57">
                  <c:v>714000</c:v>
                </c:pt>
                <c:pt idx="58">
                  <c:v>714000</c:v>
                </c:pt>
                <c:pt idx="59">
                  <c:v>714000</c:v>
                </c:pt>
                <c:pt idx="60">
                  <c:v>714000</c:v>
                </c:pt>
                <c:pt idx="61">
                  <c:v>714000</c:v>
                </c:pt>
                <c:pt idx="62">
                  <c:v>714000</c:v>
                </c:pt>
                <c:pt idx="63">
                  <c:v>714000</c:v>
                </c:pt>
                <c:pt idx="64">
                  <c:v>714000</c:v>
                </c:pt>
                <c:pt idx="65">
                  <c:v>714000</c:v>
                </c:pt>
                <c:pt idx="66">
                  <c:v>714000</c:v>
                </c:pt>
                <c:pt idx="67">
                  <c:v>714000</c:v>
                </c:pt>
                <c:pt idx="68">
                  <c:v>714000</c:v>
                </c:pt>
                <c:pt idx="69">
                  <c:v>714000</c:v>
                </c:pt>
                <c:pt idx="70">
                  <c:v>714000</c:v>
                </c:pt>
                <c:pt idx="71">
                  <c:v>714000</c:v>
                </c:pt>
                <c:pt idx="72">
                  <c:v>714000</c:v>
                </c:pt>
                <c:pt idx="73">
                  <c:v>714000</c:v>
                </c:pt>
                <c:pt idx="74">
                  <c:v>714000</c:v>
                </c:pt>
                <c:pt idx="75">
                  <c:v>714000</c:v>
                </c:pt>
                <c:pt idx="76">
                  <c:v>714000</c:v>
                </c:pt>
                <c:pt idx="77">
                  <c:v>714000</c:v>
                </c:pt>
                <c:pt idx="78">
                  <c:v>714000</c:v>
                </c:pt>
                <c:pt idx="79">
                  <c:v>714000</c:v>
                </c:pt>
                <c:pt idx="80">
                  <c:v>714000</c:v>
                </c:pt>
                <c:pt idx="81">
                  <c:v>714000</c:v>
                </c:pt>
                <c:pt idx="82">
                  <c:v>714000</c:v>
                </c:pt>
                <c:pt idx="83">
                  <c:v>714000</c:v>
                </c:pt>
                <c:pt idx="84">
                  <c:v>714000</c:v>
                </c:pt>
                <c:pt idx="85">
                  <c:v>249000</c:v>
                </c:pt>
                <c:pt idx="86">
                  <c:v>249000</c:v>
                </c:pt>
                <c:pt idx="87">
                  <c:v>249000</c:v>
                </c:pt>
                <c:pt idx="88">
                  <c:v>249000</c:v>
                </c:pt>
                <c:pt idx="89">
                  <c:v>249000</c:v>
                </c:pt>
                <c:pt idx="90">
                  <c:v>249000</c:v>
                </c:pt>
                <c:pt idx="91">
                  <c:v>249000</c:v>
                </c:pt>
                <c:pt idx="92">
                  <c:v>249000</c:v>
                </c:pt>
                <c:pt idx="93">
                  <c:v>249000</c:v>
                </c:pt>
                <c:pt idx="94">
                  <c:v>249000</c:v>
                </c:pt>
                <c:pt idx="95">
                  <c:v>249000</c:v>
                </c:pt>
                <c:pt idx="96">
                  <c:v>249000</c:v>
                </c:pt>
                <c:pt idx="97">
                  <c:v>249000</c:v>
                </c:pt>
                <c:pt idx="98">
                  <c:v>249000</c:v>
                </c:pt>
                <c:pt idx="99">
                  <c:v>249000</c:v>
                </c:pt>
                <c:pt idx="100">
                  <c:v>249000</c:v>
                </c:pt>
                <c:pt idx="101">
                  <c:v>249000</c:v>
                </c:pt>
                <c:pt idx="102">
                  <c:v>249000</c:v>
                </c:pt>
                <c:pt idx="103">
                  <c:v>249000</c:v>
                </c:pt>
                <c:pt idx="104">
                  <c:v>249000</c:v>
                </c:pt>
                <c:pt idx="105">
                  <c:v>249000</c:v>
                </c:pt>
                <c:pt idx="106">
                  <c:v>249000</c:v>
                </c:pt>
                <c:pt idx="107">
                  <c:v>249000</c:v>
                </c:pt>
                <c:pt idx="108">
                  <c:v>249000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ProductionCasingOutput!$C$2</c:f>
              <c:strCache>
                <c:ptCount val="1"/>
                <c:pt idx="0">
                  <c:v>Pipe Tensile</c:v>
                </c:pt>
              </c:strCache>
            </c:strRef>
          </c:tx>
          <c:marker>
            <c:symbol val="none"/>
          </c:marker>
          <c:xVal>
            <c:numRef>
              <c:f>ProductionCasingOutput!$C$3:$C$111</c:f>
              <c:numCache>
                <c:formatCode>General</c:formatCode>
                <c:ptCount val="109"/>
                <c:pt idx="0">
                  <c:v>644179.48870157078</c:v>
                </c:pt>
                <c:pt idx="1">
                  <c:v>639724.48870157078</c:v>
                </c:pt>
                <c:pt idx="2">
                  <c:v>635269.48870157078</c:v>
                </c:pt>
                <c:pt idx="3">
                  <c:v>630814.48870157078</c:v>
                </c:pt>
                <c:pt idx="4">
                  <c:v>626359.48870157078</c:v>
                </c:pt>
                <c:pt idx="5">
                  <c:v>621904.48870157078</c:v>
                </c:pt>
                <c:pt idx="6">
                  <c:v>617449.48870157078</c:v>
                </c:pt>
                <c:pt idx="7">
                  <c:v>612994.48870157078</c:v>
                </c:pt>
                <c:pt idx="8">
                  <c:v>608539.48870157078</c:v>
                </c:pt>
                <c:pt idx="9">
                  <c:v>604084.48870157078</c:v>
                </c:pt>
                <c:pt idx="10">
                  <c:v>599629.48870157078</c:v>
                </c:pt>
                <c:pt idx="11">
                  <c:v>595174.48870157078</c:v>
                </c:pt>
                <c:pt idx="12">
                  <c:v>590719.48870157078</c:v>
                </c:pt>
                <c:pt idx="13">
                  <c:v>566164.36444228678</c:v>
                </c:pt>
                <c:pt idx="14">
                  <c:v>560314.36444228678</c:v>
                </c:pt>
                <c:pt idx="15">
                  <c:v>554464.36444228678</c:v>
                </c:pt>
                <c:pt idx="16">
                  <c:v>548614.36444228678</c:v>
                </c:pt>
                <c:pt idx="17">
                  <c:v>542764.36444228678</c:v>
                </c:pt>
                <c:pt idx="18">
                  <c:v>536914.36444228678</c:v>
                </c:pt>
                <c:pt idx="19">
                  <c:v>531064.36444228678</c:v>
                </c:pt>
                <c:pt idx="20">
                  <c:v>525214.36444228678</c:v>
                </c:pt>
                <c:pt idx="21">
                  <c:v>519364.36444228672</c:v>
                </c:pt>
                <c:pt idx="22">
                  <c:v>513514.36444228672</c:v>
                </c:pt>
                <c:pt idx="23">
                  <c:v>507664.36444228672</c:v>
                </c:pt>
                <c:pt idx="24">
                  <c:v>501814.36444228672</c:v>
                </c:pt>
                <c:pt idx="25">
                  <c:v>495964.36444228672</c:v>
                </c:pt>
                <c:pt idx="26">
                  <c:v>490114.36444228672</c:v>
                </c:pt>
                <c:pt idx="27">
                  <c:v>484264.36444228672</c:v>
                </c:pt>
                <c:pt idx="28">
                  <c:v>478414.36444228672</c:v>
                </c:pt>
                <c:pt idx="29">
                  <c:v>472564.36444228672</c:v>
                </c:pt>
                <c:pt idx="30">
                  <c:v>466714.36444228672</c:v>
                </c:pt>
                <c:pt idx="31">
                  <c:v>460864.36444228672</c:v>
                </c:pt>
                <c:pt idx="32">
                  <c:v>455014.36444228672</c:v>
                </c:pt>
                <c:pt idx="33">
                  <c:v>462941.67392720061</c:v>
                </c:pt>
                <c:pt idx="34">
                  <c:v>457886.67392720061</c:v>
                </c:pt>
                <c:pt idx="35">
                  <c:v>452831.67392720061</c:v>
                </c:pt>
                <c:pt idx="36">
                  <c:v>447776.67392720061</c:v>
                </c:pt>
                <c:pt idx="37">
                  <c:v>442721.67392720061</c:v>
                </c:pt>
                <c:pt idx="38">
                  <c:v>437666.67392720061</c:v>
                </c:pt>
                <c:pt idx="39">
                  <c:v>432611.67392720061</c:v>
                </c:pt>
                <c:pt idx="40">
                  <c:v>427556.67392720061</c:v>
                </c:pt>
                <c:pt idx="41">
                  <c:v>422501.67392720061</c:v>
                </c:pt>
                <c:pt idx="42">
                  <c:v>417446.67392720061</c:v>
                </c:pt>
                <c:pt idx="43">
                  <c:v>412391.67392720061</c:v>
                </c:pt>
                <c:pt idx="44">
                  <c:v>407336.67392720061</c:v>
                </c:pt>
                <c:pt idx="45">
                  <c:v>402281.67392720061</c:v>
                </c:pt>
                <c:pt idx="46">
                  <c:v>397226.67392720061</c:v>
                </c:pt>
                <c:pt idx="47">
                  <c:v>392171.67392720061</c:v>
                </c:pt>
                <c:pt idx="48">
                  <c:v>410521.09466082399</c:v>
                </c:pt>
                <c:pt idx="49">
                  <c:v>406561.09466082399</c:v>
                </c:pt>
                <c:pt idx="50">
                  <c:v>402601.09466082399</c:v>
                </c:pt>
                <c:pt idx="51">
                  <c:v>398641.09466082399</c:v>
                </c:pt>
                <c:pt idx="52">
                  <c:v>394681.09466082399</c:v>
                </c:pt>
                <c:pt idx="53">
                  <c:v>390721.09466082405</c:v>
                </c:pt>
                <c:pt idx="54">
                  <c:v>386761.09466082405</c:v>
                </c:pt>
                <c:pt idx="55">
                  <c:v>382801.09466082405</c:v>
                </c:pt>
                <c:pt idx="56">
                  <c:v>378841.09466082405</c:v>
                </c:pt>
                <c:pt idx="57">
                  <c:v>374881.09466082405</c:v>
                </c:pt>
                <c:pt idx="58">
                  <c:v>370921.09466082405</c:v>
                </c:pt>
                <c:pt idx="59">
                  <c:v>366961.09466082405</c:v>
                </c:pt>
                <c:pt idx="60">
                  <c:v>363001.09466082405</c:v>
                </c:pt>
                <c:pt idx="61">
                  <c:v>359041.09466082405</c:v>
                </c:pt>
                <c:pt idx="62">
                  <c:v>355081.09466082405</c:v>
                </c:pt>
                <c:pt idx="63">
                  <c:v>351121.09466082405</c:v>
                </c:pt>
                <c:pt idx="64">
                  <c:v>347161.09466082405</c:v>
                </c:pt>
                <c:pt idx="65">
                  <c:v>343201.09466082405</c:v>
                </c:pt>
                <c:pt idx="66">
                  <c:v>339241.09466082405</c:v>
                </c:pt>
                <c:pt idx="67">
                  <c:v>335281.09466082405</c:v>
                </c:pt>
                <c:pt idx="68">
                  <c:v>331321.09466082405</c:v>
                </c:pt>
                <c:pt idx="69">
                  <c:v>327361.09466082405</c:v>
                </c:pt>
                <c:pt idx="70">
                  <c:v>323401.09466082405</c:v>
                </c:pt>
                <c:pt idx="71">
                  <c:v>319441.09466082405</c:v>
                </c:pt>
                <c:pt idx="72">
                  <c:v>315481.09466082405</c:v>
                </c:pt>
                <c:pt idx="73">
                  <c:v>311521.09466082405</c:v>
                </c:pt>
                <c:pt idx="74">
                  <c:v>307561.09466082405</c:v>
                </c:pt>
                <c:pt idx="75">
                  <c:v>303601.09466082405</c:v>
                </c:pt>
                <c:pt idx="76">
                  <c:v>299641.09466082405</c:v>
                </c:pt>
                <c:pt idx="77">
                  <c:v>295681.09466082405</c:v>
                </c:pt>
                <c:pt idx="78">
                  <c:v>291721.09466082405</c:v>
                </c:pt>
                <c:pt idx="79">
                  <c:v>287761.09466082405</c:v>
                </c:pt>
                <c:pt idx="80">
                  <c:v>283801.09466082405</c:v>
                </c:pt>
                <c:pt idx="81">
                  <c:v>279841.09466082405</c:v>
                </c:pt>
                <c:pt idx="82">
                  <c:v>275881.09466082405</c:v>
                </c:pt>
                <c:pt idx="83">
                  <c:v>271921.09466082405</c:v>
                </c:pt>
                <c:pt idx="84">
                  <c:v>267961.09466082405</c:v>
                </c:pt>
                <c:pt idx="85">
                  <c:v>75783.402328451717</c:v>
                </c:pt>
                <c:pt idx="86">
                  <c:v>73758.402328451717</c:v>
                </c:pt>
                <c:pt idx="87">
                  <c:v>71733.402328451717</c:v>
                </c:pt>
                <c:pt idx="88">
                  <c:v>69708.402328451717</c:v>
                </c:pt>
                <c:pt idx="89">
                  <c:v>67683.402328451717</c:v>
                </c:pt>
                <c:pt idx="90">
                  <c:v>65658.402328451717</c:v>
                </c:pt>
                <c:pt idx="91">
                  <c:v>63633.402328451724</c:v>
                </c:pt>
                <c:pt idx="92">
                  <c:v>61608.402328451724</c:v>
                </c:pt>
                <c:pt idx="93">
                  <c:v>59583.402328451724</c:v>
                </c:pt>
                <c:pt idx="94">
                  <c:v>57558.402328451724</c:v>
                </c:pt>
                <c:pt idx="95">
                  <c:v>55533.402328451724</c:v>
                </c:pt>
                <c:pt idx="96">
                  <c:v>53508.402328451724</c:v>
                </c:pt>
                <c:pt idx="97">
                  <c:v>51483.402328451724</c:v>
                </c:pt>
                <c:pt idx="98">
                  <c:v>49458.402328451724</c:v>
                </c:pt>
                <c:pt idx="99">
                  <c:v>47433.402328451732</c:v>
                </c:pt>
                <c:pt idx="100">
                  <c:v>45408.402328451732</c:v>
                </c:pt>
                <c:pt idx="101">
                  <c:v>43383.402328451732</c:v>
                </c:pt>
                <c:pt idx="102">
                  <c:v>41358.402328451732</c:v>
                </c:pt>
                <c:pt idx="103">
                  <c:v>39333.402328451732</c:v>
                </c:pt>
                <c:pt idx="104">
                  <c:v>37308.402328451732</c:v>
                </c:pt>
                <c:pt idx="105">
                  <c:v>35283.402328451732</c:v>
                </c:pt>
                <c:pt idx="106">
                  <c:v>33258.402328451732</c:v>
                </c:pt>
                <c:pt idx="107">
                  <c:v>31233.402328451732</c:v>
                </c:pt>
                <c:pt idx="108">
                  <c:v>29208.402328451732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ProductionCasingOutput!$D$2</c:f>
              <c:strCache>
                <c:ptCount val="1"/>
                <c:pt idx="0">
                  <c:v>Joint Tens. Strength</c:v>
                </c:pt>
              </c:strCache>
            </c:strRef>
          </c:tx>
          <c:marker>
            <c:symbol val="none"/>
          </c:marker>
          <c:xVal>
            <c:numRef>
              <c:f>ProductionCasingOutput!$D$3:$D$111</c:f>
              <c:numCache>
                <c:formatCode>General</c:formatCode>
                <c:ptCount val="109"/>
                <c:pt idx="0">
                  <c:v>769000</c:v>
                </c:pt>
                <c:pt idx="1">
                  <c:v>769000</c:v>
                </c:pt>
                <c:pt idx="2">
                  <c:v>769000</c:v>
                </c:pt>
                <c:pt idx="3">
                  <c:v>769000</c:v>
                </c:pt>
                <c:pt idx="4">
                  <c:v>769000</c:v>
                </c:pt>
                <c:pt idx="5">
                  <c:v>769000</c:v>
                </c:pt>
                <c:pt idx="6">
                  <c:v>769000</c:v>
                </c:pt>
                <c:pt idx="7">
                  <c:v>769000</c:v>
                </c:pt>
                <c:pt idx="8">
                  <c:v>769000</c:v>
                </c:pt>
                <c:pt idx="9">
                  <c:v>769000</c:v>
                </c:pt>
                <c:pt idx="10">
                  <c:v>769000</c:v>
                </c:pt>
                <c:pt idx="11">
                  <c:v>769000</c:v>
                </c:pt>
                <c:pt idx="12">
                  <c:v>769000</c:v>
                </c:pt>
                <c:pt idx="13">
                  <c:v>798000</c:v>
                </c:pt>
                <c:pt idx="14">
                  <c:v>798000</c:v>
                </c:pt>
                <c:pt idx="15">
                  <c:v>798000</c:v>
                </c:pt>
                <c:pt idx="16">
                  <c:v>798000</c:v>
                </c:pt>
                <c:pt idx="17">
                  <c:v>798000</c:v>
                </c:pt>
                <c:pt idx="18">
                  <c:v>798000</c:v>
                </c:pt>
                <c:pt idx="19">
                  <c:v>798000</c:v>
                </c:pt>
                <c:pt idx="20">
                  <c:v>798000</c:v>
                </c:pt>
                <c:pt idx="21">
                  <c:v>798000</c:v>
                </c:pt>
                <c:pt idx="22">
                  <c:v>798000</c:v>
                </c:pt>
                <c:pt idx="23">
                  <c:v>798000</c:v>
                </c:pt>
                <c:pt idx="24">
                  <c:v>798000</c:v>
                </c:pt>
                <c:pt idx="25">
                  <c:v>798000</c:v>
                </c:pt>
                <c:pt idx="26">
                  <c:v>798000</c:v>
                </c:pt>
                <c:pt idx="27">
                  <c:v>798000</c:v>
                </c:pt>
                <c:pt idx="28">
                  <c:v>798000</c:v>
                </c:pt>
                <c:pt idx="29">
                  <c:v>798000</c:v>
                </c:pt>
                <c:pt idx="30">
                  <c:v>798000</c:v>
                </c:pt>
                <c:pt idx="31">
                  <c:v>798000</c:v>
                </c:pt>
                <c:pt idx="32">
                  <c:v>798000</c:v>
                </c:pt>
                <c:pt idx="33">
                  <c:v>852000</c:v>
                </c:pt>
                <c:pt idx="34">
                  <c:v>852000</c:v>
                </c:pt>
                <c:pt idx="35">
                  <c:v>852000</c:v>
                </c:pt>
                <c:pt idx="36">
                  <c:v>852000</c:v>
                </c:pt>
                <c:pt idx="37">
                  <c:v>852000</c:v>
                </c:pt>
                <c:pt idx="38">
                  <c:v>852000</c:v>
                </c:pt>
                <c:pt idx="39">
                  <c:v>852000</c:v>
                </c:pt>
                <c:pt idx="40">
                  <c:v>852000</c:v>
                </c:pt>
                <c:pt idx="41">
                  <c:v>852000</c:v>
                </c:pt>
                <c:pt idx="42">
                  <c:v>852000</c:v>
                </c:pt>
                <c:pt idx="43">
                  <c:v>852000</c:v>
                </c:pt>
                <c:pt idx="44">
                  <c:v>852000</c:v>
                </c:pt>
                <c:pt idx="45">
                  <c:v>852000</c:v>
                </c:pt>
                <c:pt idx="46">
                  <c:v>852000</c:v>
                </c:pt>
                <c:pt idx="47">
                  <c:v>852000</c:v>
                </c:pt>
                <c:pt idx="48">
                  <c:v>716000</c:v>
                </c:pt>
                <c:pt idx="49">
                  <c:v>716000</c:v>
                </c:pt>
                <c:pt idx="50">
                  <c:v>716000</c:v>
                </c:pt>
                <c:pt idx="51">
                  <c:v>716000</c:v>
                </c:pt>
                <c:pt idx="52">
                  <c:v>716000</c:v>
                </c:pt>
                <c:pt idx="53">
                  <c:v>716000</c:v>
                </c:pt>
                <c:pt idx="54">
                  <c:v>716000</c:v>
                </c:pt>
                <c:pt idx="55">
                  <c:v>716000</c:v>
                </c:pt>
                <c:pt idx="56">
                  <c:v>716000</c:v>
                </c:pt>
                <c:pt idx="57">
                  <c:v>716000</c:v>
                </c:pt>
                <c:pt idx="58">
                  <c:v>716000</c:v>
                </c:pt>
                <c:pt idx="59">
                  <c:v>716000</c:v>
                </c:pt>
                <c:pt idx="60">
                  <c:v>716000</c:v>
                </c:pt>
                <c:pt idx="61">
                  <c:v>716000</c:v>
                </c:pt>
                <c:pt idx="62">
                  <c:v>716000</c:v>
                </c:pt>
                <c:pt idx="63">
                  <c:v>716000</c:v>
                </c:pt>
                <c:pt idx="64">
                  <c:v>716000</c:v>
                </c:pt>
                <c:pt idx="65">
                  <c:v>716000</c:v>
                </c:pt>
                <c:pt idx="66">
                  <c:v>716000</c:v>
                </c:pt>
                <c:pt idx="67">
                  <c:v>716000</c:v>
                </c:pt>
                <c:pt idx="68">
                  <c:v>716000</c:v>
                </c:pt>
                <c:pt idx="69">
                  <c:v>716000</c:v>
                </c:pt>
                <c:pt idx="70">
                  <c:v>716000</c:v>
                </c:pt>
                <c:pt idx="71">
                  <c:v>716000</c:v>
                </c:pt>
                <c:pt idx="72">
                  <c:v>716000</c:v>
                </c:pt>
                <c:pt idx="73">
                  <c:v>716000</c:v>
                </c:pt>
                <c:pt idx="74">
                  <c:v>716000</c:v>
                </c:pt>
                <c:pt idx="75">
                  <c:v>716000</c:v>
                </c:pt>
                <c:pt idx="76">
                  <c:v>716000</c:v>
                </c:pt>
                <c:pt idx="77">
                  <c:v>716000</c:v>
                </c:pt>
                <c:pt idx="78">
                  <c:v>716000</c:v>
                </c:pt>
                <c:pt idx="79">
                  <c:v>716000</c:v>
                </c:pt>
                <c:pt idx="80">
                  <c:v>716000</c:v>
                </c:pt>
                <c:pt idx="81">
                  <c:v>716000</c:v>
                </c:pt>
                <c:pt idx="82">
                  <c:v>716000</c:v>
                </c:pt>
                <c:pt idx="83">
                  <c:v>716000</c:v>
                </c:pt>
                <c:pt idx="84">
                  <c:v>716000</c:v>
                </c:pt>
                <c:pt idx="85">
                  <c:v>295000</c:v>
                </c:pt>
                <c:pt idx="86">
                  <c:v>295000</c:v>
                </c:pt>
                <c:pt idx="87">
                  <c:v>295000</c:v>
                </c:pt>
                <c:pt idx="88">
                  <c:v>295000</c:v>
                </c:pt>
                <c:pt idx="89">
                  <c:v>295000</c:v>
                </c:pt>
                <c:pt idx="90">
                  <c:v>295000</c:v>
                </c:pt>
                <c:pt idx="91">
                  <c:v>295000</c:v>
                </c:pt>
                <c:pt idx="92">
                  <c:v>295000</c:v>
                </c:pt>
                <c:pt idx="93">
                  <c:v>295000</c:v>
                </c:pt>
                <c:pt idx="94">
                  <c:v>295000</c:v>
                </c:pt>
                <c:pt idx="95">
                  <c:v>295000</c:v>
                </c:pt>
                <c:pt idx="96">
                  <c:v>295000</c:v>
                </c:pt>
                <c:pt idx="97">
                  <c:v>295000</c:v>
                </c:pt>
                <c:pt idx="98">
                  <c:v>295000</c:v>
                </c:pt>
                <c:pt idx="99">
                  <c:v>295000</c:v>
                </c:pt>
                <c:pt idx="100">
                  <c:v>295000</c:v>
                </c:pt>
                <c:pt idx="101">
                  <c:v>295000</c:v>
                </c:pt>
                <c:pt idx="102">
                  <c:v>295000</c:v>
                </c:pt>
                <c:pt idx="103">
                  <c:v>295000</c:v>
                </c:pt>
                <c:pt idx="104">
                  <c:v>295000</c:v>
                </c:pt>
                <c:pt idx="105">
                  <c:v>295000</c:v>
                </c:pt>
                <c:pt idx="106">
                  <c:v>295000</c:v>
                </c:pt>
                <c:pt idx="107">
                  <c:v>295000</c:v>
                </c:pt>
                <c:pt idx="108">
                  <c:v>295000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ProductionCasingOutput!$E$2</c:f>
              <c:strCache>
                <c:ptCount val="1"/>
                <c:pt idx="0">
                  <c:v>Joint Tensile</c:v>
                </c:pt>
              </c:strCache>
            </c:strRef>
          </c:tx>
          <c:marker>
            <c:symbol val="none"/>
          </c:marker>
          <c:xVal>
            <c:numRef>
              <c:f>ProductionCasingOutput!$E$3:$E$111</c:f>
              <c:numCache>
                <c:formatCode>General</c:formatCode>
                <c:ptCount val="109"/>
                <c:pt idx="0">
                  <c:v>773015.38644188491</c:v>
                </c:pt>
                <c:pt idx="1">
                  <c:v>767669.38644188491</c:v>
                </c:pt>
                <c:pt idx="2">
                  <c:v>762323.38644188491</c:v>
                </c:pt>
                <c:pt idx="3">
                  <c:v>756977.38644188491</c:v>
                </c:pt>
                <c:pt idx="4">
                  <c:v>751631.38644188491</c:v>
                </c:pt>
                <c:pt idx="5">
                  <c:v>746285.38644188491</c:v>
                </c:pt>
                <c:pt idx="6">
                  <c:v>740939.38644188491</c:v>
                </c:pt>
                <c:pt idx="7">
                  <c:v>735593.38644188491</c:v>
                </c:pt>
                <c:pt idx="8">
                  <c:v>730247.38644188491</c:v>
                </c:pt>
                <c:pt idx="9">
                  <c:v>724901.38644188491</c:v>
                </c:pt>
                <c:pt idx="10">
                  <c:v>719555.38644188491</c:v>
                </c:pt>
                <c:pt idx="11">
                  <c:v>714209.38644188491</c:v>
                </c:pt>
                <c:pt idx="12">
                  <c:v>708863.38644188491</c:v>
                </c:pt>
                <c:pt idx="13">
                  <c:v>679397.23733074404</c:v>
                </c:pt>
                <c:pt idx="14">
                  <c:v>672377.23733074404</c:v>
                </c:pt>
                <c:pt idx="15">
                  <c:v>665357.23733074404</c:v>
                </c:pt>
                <c:pt idx="16">
                  <c:v>658337.23733074404</c:v>
                </c:pt>
                <c:pt idx="17">
                  <c:v>651317.23733074404</c:v>
                </c:pt>
                <c:pt idx="18">
                  <c:v>644297.23733074404</c:v>
                </c:pt>
                <c:pt idx="19">
                  <c:v>637277.23733074404</c:v>
                </c:pt>
                <c:pt idx="20">
                  <c:v>630257.23733074404</c:v>
                </c:pt>
                <c:pt idx="21">
                  <c:v>623237.23733074404</c:v>
                </c:pt>
                <c:pt idx="22">
                  <c:v>616217.23733074404</c:v>
                </c:pt>
                <c:pt idx="23">
                  <c:v>609197.23733074404</c:v>
                </c:pt>
                <c:pt idx="24">
                  <c:v>602177.23733074404</c:v>
                </c:pt>
                <c:pt idx="25">
                  <c:v>595157.23733074404</c:v>
                </c:pt>
                <c:pt idx="26">
                  <c:v>588137.23733074404</c:v>
                </c:pt>
                <c:pt idx="27">
                  <c:v>581117.23733074404</c:v>
                </c:pt>
                <c:pt idx="28">
                  <c:v>574097.23733074404</c:v>
                </c:pt>
                <c:pt idx="29">
                  <c:v>567077.23733074404</c:v>
                </c:pt>
                <c:pt idx="30">
                  <c:v>560057.23733074404</c:v>
                </c:pt>
                <c:pt idx="31">
                  <c:v>553037.23733074404</c:v>
                </c:pt>
                <c:pt idx="32">
                  <c:v>546017.23733074404</c:v>
                </c:pt>
                <c:pt idx="33">
                  <c:v>555530.00871264073</c:v>
                </c:pt>
                <c:pt idx="34">
                  <c:v>549464.00871264073</c:v>
                </c:pt>
                <c:pt idx="35">
                  <c:v>543398.00871264073</c:v>
                </c:pt>
                <c:pt idx="36">
                  <c:v>537332.00871264073</c:v>
                </c:pt>
                <c:pt idx="37">
                  <c:v>531266.00871264073</c:v>
                </c:pt>
                <c:pt idx="38">
                  <c:v>525200.00871264073</c:v>
                </c:pt>
                <c:pt idx="39">
                  <c:v>519134.00871264079</c:v>
                </c:pt>
                <c:pt idx="40">
                  <c:v>513068.00871264079</c:v>
                </c:pt>
                <c:pt idx="41">
                  <c:v>507002.00871264079</c:v>
                </c:pt>
                <c:pt idx="42">
                  <c:v>500936.00871264079</c:v>
                </c:pt>
                <c:pt idx="43">
                  <c:v>494870.00871264079</c:v>
                </c:pt>
                <c:pt idx="44">
                  <c:v>488804.00871264079</c:v>
                </c:pt>
                <c:pt idx="45">
                  <c:v>482738.00871264079</c:v>
                </c:pt>
                <c:pt idx="46">
                  <c:v>476672.00871264079</c:v>
                </c:pt>
                <c:pt idx="47">
                  <c:v>470606.00871264079</c:v>
                </c:pt>
                <c:pt idx="48">
                  <c:v>492625.31359298882</c:v>
                </c:pt>
                <c:pt idx="49">
                  <c:v>487873.31359298882</c:v>
                </c:pt>
                <c:pt idx="50">
                  <c:v>483121.31359298882</c:v>
                </c:pt>
                <c:pt idx="51">
                  <c:v>478369.31359298882</c:v>
                </c:pt>
                <c:pt idx="52">
                  <c:v>473617.31359298882</c:v>
                </c:pt>
                <c:pt idx="53">
                  <c:v>468865.31359298882</c:v>
                </c:pt>
                <c:pt idx="54">
                  <c:v>464113.31359298882</c:v>
                </c:pt>
                <c:pt idx="55">
                  <c:v>459361.31359298882</c:v>
                </c:pt>
                <c:pt idx="56">
                  <c:v>454609.31359298882</c:v>
                </c:pt>
                <c:pt idx="57">
                  <c:v>449857.31359298882</c:v>
                </c:pt>
                <c:pt idx="58">
                  <c:v>445105.31359298882</c:v>
                </c:pt>
                <c:pt idx="59">
                  <c:v>440353.31359298882</c:v>
                </c:pt>
                <c:pt idx="60">
                  <c:v>435601.31359298882</c:v>
                </c:pt>
                <c:pt idx="61">
                  <c:v>430849.31359298882</c:v>
                </c:pt>
                <c:pt idx="62">
                  <c:v>426097.31359298882</c:v>
                </c:pt>
                <c:pt idx="63">
                  <c:v>421345.31359298882</c:v>
                </c:pt>
                <c:pt idx="64">
                  <c:v>416593.31359298882</c:v>
                </c:pt>
                <c:pt idx="65">
                  <c:v>411841.31359298882</c:v>
                </c:pt>
                <c:pt idx="66">
                  <c:v>407089.31359298882</c:v>
                </c:pt>
                <c:pt idx="67">
                  <c:v>402337.31359298882</c:v>
                </c:pt>
                <c:pt idx="68">
                  <c:v>397585.31359298882</c:v>
                </c:pt>
                <c:pt idx="69">
                  <c:v>392833.31359298882</c:v>
                </c:pt>
                <c:pt idx="70">
                  <c:v>388081.31359298882</c:v>
                </c:pt>
                <c:pt idx="71">
                  <c:v>383329.31359298882</c:v>
                </c:pt>
                <c:pt idx="72">
                  <c:v>378577.31359298882</c:v>
                </c:pt>
                <c:pt idx="73">
                  <c:v>373825.31359298882</c:v>
                </c:pt>
                <c:pt idx="74">
                  <c:v>369073.31359298882</c:v>
                </c:pt>
                <c:pt idx="75">
                  <c:v>364321.31359298882</c:v>
                </c:pt>
                <c:pt idx="76">
                  <c:v>359569.31359298882</c:v>
                </c:pt>
                <c:pt idx="77">
                  <c:v>354817.31359298882</c:v>
                </c:pt>
                <c:pt idx="78">
                  <c:v>350065.31359298882</c:v>
                </c:pt>
                <c:pt idx="79">
                  <c:v>345313.31359298882</c:v>
                </c:pt>
                <c:pt idx="80">
                  <c:v>340561.31359298882</c:v>
                </c:pt>
                <c:pt idx="81">
                  <c:v>335809.31359298882</c:v>
                </c:pt>
                <c:pt idx="82">
                  <c:v>331057.31359298882</c:v>
                </c:pt>
                <c:pt idx="83">
                  <c:v>326305.31359298882</c:v>
                </c:pt>
                <c:pt idx="84">
                  <c:v>321553.31359298882</c:v>
                </c:pt>
                <c:pt idx="85">
                  <c:v>90940.082794142072</c:v>
                </c:pt>
                <c:pt idx="86">
                  <c:v>88510.082794142072</c:v>
                </c:pt>
                <c:pt idx="87">
                  <c:v>86080.082794142072</c:v>
                </c:pt>
                <c:pt idx="88">
                  <c:v>83650.082794142072</c:v>
                </c:pt>
                <c:pt idx="89">
                  <c:v>81220.082794142072</c:v>
                </c:pt>
                <c:pt idx="90">
                  <c:v>78790.082794142072</c:v>
                </c:pt>
                <c:pt idx="91">
                  <c:v>76360.082794142072</c:v>
                </c:pt>
                <c:pt idx="92">
                  <c:v>73930.082794142072</c:v>
                </c:pt>
                <c:pt idx="93">
                  <c:v>71500.082794142072</c:v>
                </c:pt>
                <c:pt idx="94">
                  <c:v>69070.082794142072</c:v>
                </c:pt>
                <c:pt idx="95">
                  <c:v>66640.082794142072</c:v>
                </c:pt>
                <c:pt idx="96">
                  <c:v>64210.082794142072</c:v>
                </c:pt>
                <c:pt idx="97">
                  <c:v>61780.082794142072</c:v>
                </c:pt>
                <c:pt idx="98">
                  <c:v>59350.082794142072</c:v>
                </c:pt>
                <c:pt idx="99">
                  <c:v>56920.082794142079</c:v>
                </c:pt>
                <c:pt idx="100">
                  <c:v>54490.082794142079</c:v>
                </c:pt>
                <c:pt idx="101">
                  <c:v>52060.082794142079</c:v>
                </c:pt>
                <c:pt idx="102">
                  <c:v>49630.082794142079</c:v>
                </c:pt>
                <c:pt idx="103">
                  <c:v>47200.082794142079</c:v>
                </c:pt>
                <c:pt idx="104">
                  <c:v>44770.082794142079</c:v>
                </c:pt>
                <c:pt idx="105">
                  <c:v>42340.082794142079</c:v>
                </c:pt>
                <c:pt idx="106">
                  <c:v>39910.082794142079</c:v>
                </c:pt>
                <c:pt idx="107">
                  <c:v>37480.082794142079</c:v>
                </c:pt>
                <c:pt idx="108">
                  <c:v>35050.082794142079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24672"/>
        <c:axId val="337335040"/>
      </c:scatterChart>
      <c:valAx>
        <c:axId val="33732467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335040"/>
        <c:crosses val="autoZero"/>
        <c:crossBetween val="midCat"/>
      </c:valAx>
      <c:valAx>
        <c:axId val="337335040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324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834580052493442"/>
          <c:y val="0.30704469233012543"/>
          <c:w val="0.30665419947506561"/>
          <c:h val="0.334868766404199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Production Casing-</a:t>
            </a:r>
            <a:r>
              <a:rPr lang="en-US" baseline="0"/>
              <a:t> Running Mud </a:t>
            </a:r>
            <a:endParaRPr lang="en-US"/>
          </a:p>
        </c:rich>
      </c:tx>
      <c:layout>
        <c:manualLayout>
          <c:xMode val="edge"/>
          <c:yMode val="edge"/>
          <c:x val="6.5868110236220467E-2"/>
          <c:y val="0.8379629629629629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47462817147855"/>
          <c:y val="0.21403579760863226"/>
          <c:w val="0.47369072615923008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ProductionCasingOutput!$F$2</c:f>
              <c:strCache>
                <c:ptCount val="1"/>
                <c:pt idx="0">
                  <c:v>Pipe Tens. Strength</c:v>
                </c:pt>
              </c:strCache>
            </c:strRef>
          </c:tx>
          <c:marker>
            <c:symbol val="none"/>
          </c:marker>
          <c:xVal>
            <c:numRef>
              <c:f>ProductionCasingOutput!$F$3:$F$111</c:f>
              <c:numCache>
                <c:formatCode>General</c:formatCode>
                <c:ptCount val="109"/>
                <c:pt idx="0">
                  <c:v>940000</c:v>
                </c:pt>
                <c:pt idx="1">
                  <c:v>940000</c:v>
                </c:pt>
                <c:pt idx="2">
                  <c:v>940000</c:v>
                </c:pt>
                <c:pt idx="3">
                  <c:v>940000</c:v>
                </c:pt>
                <c:pt idx="4">
                  <c:v>940000</c:v>
                </c:pt>
                <c:pt idx="5">
                  <c:v>940000</c:v>
                </c:pt>
                <c:pt idx="6">
                  <c:v>940000</c:v>
                </c:pt>
                <c:pt idx="7">
                  <c:v>940000</c:v>
                </c:pt>
                <c:pt idx="8">
                  <c:v>940000</c:v>
                </c:pt>
                <c:pt idx="9">
                  <c:v>940000</c:v>
                </c:pt>
                <c:pt idx="10">
                  <c:v>940000</c:v>
                </c:pt>
                <c:pt idx="11">
                  <c:v>940000</c:v>
                </c:pt>
                <c:pt idx="12">
                  <c:v>940000</c:v>
                </c:pt>
                <c:pt idx="13">
                  <c:v>895000</c:v>
                </c:pt>
                <c:pt idx="14">
                  <c:v>895000</c:v>
                </c:pt>
                <c:pt idx="15">
                  <c:v>895000</c:v>
                </c:pt>
                <c:pt idx="16">
                  <c:v>895000</c:v>
                </c:pt>
                <c:pt idx="17">
                  <c:v>895000</c:v>
                </c:pt>
                <c:pt idx="18">
                  <c:v>895000</c:v>
                </c:pt>
                <c:pt idx="19">
                  <c:v>895000</c:v>
                </c:pt>
                <c:pt idx="20">
                  <c:v>895000</c:v>
                </c:pt>
                <c:pt idx="21">
                  <c:v>895000</c:v>
                </c:pt>
                <c:pt idx="22">
                  <c:v>895000</c:v>
                </c:pt>
                <c:pt idx="23">
                  <c:v>895000</c:v>
                </c:pt>
                <c:pt idx="24">
                  <c:v>895000</c:v>
                </c:pt>
                <c:pt idx="25">
                  <c:v>895000</c:v>
                </c:pt>
                <c:pt idx="26">
                  <c:v>895000</c:v>
                </c:pt>
                <c:pt idx="27">
                  <c:v>895000</c:v>
                </c:pt>
                <c:pt idx="28">
                  <c:v>895000</c:v>
                </c:pt>
                <c:pt idx="29">
                  <c:v>895000</c:v>
                </c:pt>
                <c:pt idx="30">
                  <c:v>895000</c:v>
                </c:pt>
                <c:pt idx="31">
                  <c:v>895000</c:v>
                </c:pt>
                <c:pt idx="32">
                  <c:v>895000</c:v>
                </c:pt>
                <c:pt idx="33">
                  <c:v>778000</c:v>
                </c:pt>
                <c:pt idx="34">
                  <c:v>778000</c:v>
                </c:pt>
                <c:pt idx="35">
                  <c:v>778000</c:v>
                </c:pt>
                <c:pt idx="36">
                  <c:v>778000</c:v>
                </c:pt>
                <c:pt idx="37">
                  <c:v>778000</c:v>
                </c:pt>
                <c:pt idx="38">
                  <c:v>778000</c:v>
                </c:pt>
                <c:pt idx="39">
                  <c:v>778000</c:v>
                </c:pt>
                <c:pt idx="40">
                  <c:v>778000</c:v>
                </c:pt>
                <c:pt idx="41">
                  <c:v>778000</c:v>
                </c:pt>
                <c:pt idx="42">
                  <c:v>778000</c:v>
                </c:pt>
                <c:pt idx="43">
                  <c:v>778000</c:v>
                </c:pt>
                <c:pt idx="44">
                  <c:v>778000</c:v>
                </c:pt>
                <c:pt idx="45">
                  <c:v>778000</c:v>
                </c:pt>
                <c:pt idx="46">
                  <c:v>778000</c:v>
                </c:pt>
                <c:pt idx="47">
                  <c:v>778000</c:v>
                </c:pt>
                <c:pt idx="48">
                  <c:v>714000</c:v>
                </c:pt>
                <c:pt idx="49">
                  <c:v>714000</c:v>
                </c:pt>
                <c:pt idx="50">
                  <c:v>714000</c:v>
                </c:pt>
                <c:pt idx="51">
                  <c:v>714000</c:v>
                </c:pt>
                <c:pt idx="52">
                  <c:v>714000</c:v>
                </c:pt>
                <c:pt idx="53">
                  <c:v>714000</c:v>
                </c:pt>
                <c:pt idx="54">
                  <c:v>714000</c:v>
                </c:pt>
                <c:pt idx="55">
                  <c:v>714000</c:v>
                </c:pt>
                <c:pt idx="56">
                  <c:v>714000</c:v>
                </c:pt>
                <c:pt idx="57">
                  <c:v>714000</c:v>
                </c:pt>
                <c:pt idx="58">
                  <c:v>714000</c:v>
                </c:pt>
                <c:pt idx="59">
                  <c:v>714000</c:v>
                </c:pt>
                <c:pt idx="60">
                  <c:v>714000</c:v>
                </c:pt>
                <c:pt idx="61">
                  <c:v>714000</c:v>
                </c:pt>
                <c:pt idx="62">
                  <c:v>714000</c:v>
                </c:pt>
                <c:pt idx="63">
                  <c:v>714000</c:v>
                </c:pt>
                <c:pt idx="64">
                  <c:v>714000</c:v>
                </c:pt>
                <c:pt idx="65">
                  <c:v>714000</c:v>
                </c:pt>
                <c:pt idx="66">
                  <c:v>714000</c:v>
                </c:pt>
                <c:pt idx="67">
                  <c:v>714000</c:v>
                </c:pt>
                <c:pt idx="68">
                  <c:v>714000</c:v>
                </c:pt>
                <c:pt idx="69">
                  <c:v>714000</c:v>
                </c:pt>
                <c:pt idx="70">
                  <c:v>714000</c:v>
                </c:pt>
                <c:pt idx="71">
                  <c:v>714000</c:v>
                </c:pt>
                <c:pt idx="72">
                  <c:v>714000</c:v>
                </c:pt>
                <c:pt idx="73">
                  <c:v>714000</c:v>
                </c:pt>
                <c:pt idx="74">
                  <c:v>714000</c:v>
                </c:pt>
                <c:pt idx="75">
                  <c:v>714000</c:v>
                </c:pt>
                <c:pt idx="76">
                  <c:v>714000</c:v>
                </c:pt>
                <c:pt idx="77">
                  <c:v>714000</c:v>
                </c:pt>
                <c:pt idx="78">
                  <c:v>714000</c:v>
                </c:pt>
                <c:pt idx="79">
                  <c:v>714000</c:v>
                </c:pt>
                <c:pt idx="80">
                  <c:v>714000</c:v>
                </c:pt>
                <c:pt idx="81">
                  <c:v>714000</c:v>
                </c:pt>
                <c:pt idx="82">
                  <c:v>714000</c:v>
                </c:pt>
                <c:pt idx="83">
                  <c:v>714000</c:v>
                </c:pt>
                <c:pt idx="84">
                  <c:v>714000</c:v>
                </c:pt>
                <c:pt idx="85">
                  <c:v>249000</c:v>
                </c:pt>
                <c:pt idx="86">
                  <c:v>249000</c:v>
                </c:pt>
                <c:pt idx="87">
                  <c:v>249000</c:v>
                </c:pt>
                <c:pt idx="88">
                  <c:v>249000</c:v>
                </c:pt>
                <c:pt idx="89">
                  <c:v>249000</c:v>
                </c:pt>
                <c:pt idx="90">
                  <c:v>249000</c:v>
                </c:pt>
                <c:pt idx="91">
                  <c:v>249000</c:v>
                </c:pt>
                <c:pt idx="92">
                  <c:v>249000</c:v>
                </c:pt>
                <c:pt idx="93">
                  <c:v>249000</c:v>
                </c:pt>
                <c:pt idx="94">
                  <c:v>249000</c:v>
                </c:pt>
                <c:pt idx="95">
                  <c:v>249000</c:v>
                </c:pt>
                <c:pt idx="96">
                  <c:v>249000</c:v>
                </c:pt>
                <c:pt idx="97">
                  <c:v>249000</c:v>
                </c:pt>
                <c:pt idx="98">
                  <c:v>249000</c:v>
                </c:pt>
                <c:pt idx="99">
                  <c:v>249000</c:v>
                </c:pt>
                <c:pt idx="100">
                  <c:v>249000</c:v>
                </c:pt>
                <c:pt idx="101">
                  <c:v>249000</c:v>
                </c:pt>
                <c:pt idx="102">
                  <c:v>249000</c:v>
                </c:pt>
                <c:pt idx="103">
                  <c:v>249000</c:v>
                </c:pt>
                <c:pt idx="104">
                  <c:v>249000</c:v>
                </c:pt>
                <c:pt idx="105">
                  <c:v>249000</c:v>
                </c:pt>
                <c:pt idx="106">
                  <c:v>249000</c:v>
                </c:pt>
                <c:pt idx="107">
                  <c:v>249000</c:v>
                </c:pt>
                <c:pt idx="108">
                  <c:v>249000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ProductionCasingOutput!$G$2</c:f>
              <c:strCache>
                <c:ptCount val="1"/>
                <c:pt idx="0">
                  <c:v>Pipe Tensile</c:v>
                </c:pt>
              </c:strCache>
            </c:strRef>
          </c:tx>
          <c:marker>
            <c:symbol val="none"/>
          </c:marker>
          <c:xVal>
            <c:numRef>
              <c:f>ProductionCasingOutput!$G$3:$G$111</c:f>
              <c:numCache>
                <c:formatCode>General</c:formatCode>
                <c:ptCount val="109"/>
                <c:pt idx="0">
                  <c:v>580847.18048809213</c:v>
                </c:pt>
                <c:pt idx="1">
                  <c:v>576392.18048809213</c:v>
                </c:pt>
                <c:pt idx="2">
                  <c:v>571937.18048809213</c:v>
                </c:pt>
                <c:pt idx="3">
                  <c:v>567482.18048809213</c:v>
                </c:pt>
                <c:pt idx="4">
                  <c:v>563027.18048809213</c:v>
                </c:pt>
                <c:pt idx="5">
                  <c:v>558572.18048809213</c:v>
                </c:pt>
                <c:pt idx="6">
                  <c:v>554117.18048809213</c:v>
                </c:pt>
                <c:pt idx="7">
                  <c:v>549662.18048809213</c:v>
                </c:pt>
                <c:pt idx="8">
                  <c:v>545207.18048809213</c:v>
                </c:pt>
                <c:pt idx="9">
                  <c:v>540752.18048809213</c:v>
                </c:pt>
                <c:pt idx="10">
                  <c:v>536297.18048809213</c:v>
                </c:pt>
                <c:pt idx="11">
                  <c:v>531842.18048809213</c:v>
                </c:pt>
                <c:pt idx="12">
                  <c:v>527387.18048809213</c:v>
                </c:pt>
                <c:pt idx="13">
                  <c:v>519132.94411024248</c:v>
                </c:pt>
                <c:pt idx="14">
                  <c:v>513282.94411024248</c:v>
                </c:pt>
                <c:pt idx="15">
                  <c:v>507432.94411024248</c:v>
                </c:pt>
                <c:pt idx="16">
                  <c:v>501582.94411024248</c:v>
                </c:pt>
                <c:pt idx="17">
                  <c:v>495732.94411024248</c:v>
                </c:pt>
                <c:pt idx="18">
                  <c:v>489882.94411024248</c:v>
                </c:pt>
                <c:pt idx="19">
                  <c:v>484032.94411024248</c:v>
                </c:pt>
                <c:pt idx="20">
                  <c:v>478182.94411024248</c:v>
                </c:pt>
                <c:pt idx="21">
                  <c:v>472332.94411024248</c:v>
                </c:pt>
                <c:pt idx="22">
                  <c:v>466482.94411024248</c:v>
                </c:pt>
                <c:pt idx="23">
                  <c:v>460632.94411024248</c:v>
                </c:pt>
                <c:pt idx="24">
                  <c:v>454782.94411024248</c:v>
                </c:pt>
                <c:pt idx="25">
                  <c:v>448932.94411024248</c:v>
                </c:pt>
                <c:pt idx="26">
                  <c:v>443082.94411024248</c:v>
                </c:pt>
                <c:pt idx="27">
                  <c:v>437232.94411024248</c:v>
                </c:pt>
                <c:pt idx="28">
                  <c:v>431382.94411024248</c:v>
                </c:pt>
                <c:pt idx="29">
                  <c:v>425532.94411024248</c:v>
                </c:pt>
                <c:pt idx="30">
                  <c:v>419682.94411024248</c:v>
                </c:pt>
                <c:pt idx="31">
                  <c:v>413832.94411024248</c:v>
                </c:pt>
                <c:pt idx="32">
                  <c:v>407982.94411024248</c:v>
                </c:pt>
                <c:pt idx="33">
                  <c:v>406489.01592370775</c:v>
                </c:pt>
                <c:pt idx="34">
                  <c:v>401434.01592370775</c:v>
                </c:pt>
                <c:pt idx="35">
                  <c:v>396379.01592370775</c:v>
                </c:pt>
                <c:pt idx="36">
                  <c:v>391324.01592370775</c:v>
                </c:pt>
                <c:pt idx="37">
                  <c:v>386269.01592370775</c:v>
                </c:pt>
                <c:pt idx="38">
                  <c:v>381214.01592370775</c:v>
                </c:pt>
                <c:pt idx="39">
                  <c:v>376159.01592370775</c:v>
                </c:pt>
                <c:pt idx="40">
                  <c:v>371104.01592370775</c:v>
                </c:pt>
                <c:pt idx="41">
                  <c:v>366049.01592370775</c:v>
                </c:pt>
                <c:pt idx="42">
                  <c:v>360994.01592370775</c:v>
                </c:pt>
                <c:pt idx="43">
                  <c:v>355939.01592370775</c:v>
                </c:pt>
                <c:pt idx="44">
                  <c:v>350884.01592370775</c:v>
                </c:pt>
                <c:pt idx="45">
                  <c:v>345829.01592370775</c:v>
                </c:pt>
                <c:pt idx="46">
                  <c:v>340774.01592370775</c:v>
                </c:pt>
                <c:pt idx="47">
                  <c:v>335719.01592370775</c:v>
                </c:pt>
                <c:pt idx="48">
                  <c:v>339576.14367135119</c:v>
                </c:pt>
                <c:pt idx="49">
                  <c:v>335616.14367135119</c:v>
                </c:pt>
                <c:pt idx="50">
                  <c:v>331656.14367135119</c:v>
                </c:pt>
                <c:pt idx="51">
                  <c:v>327696.14367135119</c:v>
                </c:pt>
                <c:pt idx="52">
                  <c:v>323736.14367135119</c:v>
                </c:pt>
                <c:pt idx="53">
                  <c:v>319776.14367135119</c:v>
                </c:pt>
                <c:pt idx="54">
                  <c:v>315816.14367135119</c:v>
                </c:pt>
                <c:pt idx="55">
                  <c:v>311856.14367135119</c:v>
                </c:pt>
                <c:pt idx="56">
                  <c:v>307896.14367135119</c:v>
                </c:pt>
                <c:pt idx="57">
                  <c:v>303936.14367135119</c:v>
                </c:pt>
                <c:pt idx="58">
                  <c:v>299976.14367135119</c:v>
                </c:pt>
                <c:pt idx="59">
                  <c:v>296016.14367135119</c:v>
                </c:pt>
                <c:pt idx="60">
                  <c:v>292056.14367135119</c:v>
                </c:pt>
                <c:pt idx="61">
                  <c:v>288096.14367135119</c:v>
                </c:pt>
                <c:pt idx="62">
                  <c:v>284136.14367135119</c:v>
                </c:pt>
                <c:pt idx="63">
                  <c:v>280176.14367135119</c:v>
                </c:pt>
                <c:pt idx="64">
                  <c:v>276216.14367135119</c:v>
                </c:pt>
                <c:pt idx="65">
                  <c:v>272256.14367135119</c:v>
                </c:pt>
                <c:pt idx="66">
                  <c:v>268296.14367135119</c:v>
                </c:pt>
                <c:pt idx="67">
                  <c:v>264336.14367135119</c:v>
                </c:pt>
                <c:pt idx="68">
                  <c:v>260376.14367135119</c:v>
                </c:pt>
                <c:pt idx="69">
                  <c:v>256416.14367135119</c:v>
                </c:pt>
                <c:pt idx="70">
                  <c:v>252456.14367135119</c:v>
                </c:pt>
                <c:pt idx="71">
                  <c:v>248496.14367135119</c:v>
                </c:pt>
                <c:pt idx="72">
                  <c:v>244536.14367135119</c:v>
                </c:pt>
                <c:pt idx="73">
                  <c:v>240576.14367135119</c:v>
                </c:pt>
                <c:pt idx="74">
                  <c:v>236616.14367135119</c:v>
                </c:pt>
                <c:pt idx="75">
                  <c:v>232656.14367135119</c:v>
                </c:pt>
                <c:pt idx="76">
                  <c:v>228696.14367135119</c:v>
                </c:pt>
                <c:pt idx="77">
                  <c:v>224736.14367135119</c:v>
                </c:pt>
                <c:pt idx="78">
                  <c:v>220776.14367135119</c:v>
                </c:pt>
                <c:pt idx="79">
                  <c:v>216816.14367135119</c:v>
                </c:pt>
                <c:pt idx="80">
                  <c:v>212856.14367135119</c:v>
                </c:pt>
                <c:pt idx="81">
                  <c:v>208896.14367135119</c:v>
                </c:pt>
                <c:pt idx="82">
                  <c:v>204936.14367135119</c:v>
                </c:pt>
                <c:pt idx="83">
                  <c:v>200976.14367135119</c:v>
                </c:pt>
                <c:pt idx="84">
                  <c:v>197016.14367135119</c:v>
                </c:pt>
                <c:pt idx="85">
                  <c:v>163866.05202694651</c:v>
                </c:pt>
                <c:pt idx="86">
                  <c:v>161841.05202694651</c:v>
                </c:pt>
                <c:pt idx="87">
                  <c:v>159816.05202694651</c:v>
                </c:pt>
                <c:pt idx="88">
                  <c:v>157791.05202694651</c:v>
                </c:pt>
                <c:pt idx="89">
                  <c:v>155766.05202694651</c:v>
                </c:pt>
                <c:pt idx="90">
                  <c:v>153741.05202694651</c:v>
                </c:pt>
                <c:pt idx="91">
                  <c:v>151716.05202694651</c:v>
                </c:pt>
                <c:pt idx="92">
                  <c:v>149691.05202694651</c:v>
                </c:pt>
                <c:pt idx="93">
                  <c:v>147666.05202694651</c:v>
                </c:pt>
                <c:pt idx="94">
                  <c:v>145641.05202694651</c:v>
                </c:pt>
                <c:pt idx="95">
                  <c:v>143616.05202694651</c:v>
                </c:pt>
                <c:pt idx="96">
                  <c:v>141591.05202694651</c:v>
                </c:pt>
                <c:pt idx="97">
                  <c:v>139566.05202694651</c:v>
                </c:pt>
                <c:pt idx="98">
                  <c:v>137541.05202694651</c:v>
                </c:pt>
                <c:pt idx="99">
                  <c:v>135516.05202694651</c:v>
                </c:pt>
                <c:pt idx="100">
                  <c:v>133491.05202694651</c:v>
                </c:pt>
                <c:pt idx="101">
                  <c:v>131466.05202694651</c:v>
                </c:pt>
                <c:pt idx="102">
                  <c:v>129441.05202694649</c:v>
                </c:pt>
                <c:pt idx="103">
                  <c:v>127416.05202694649</c:v>
                </c:pt>
                <c:pt idx="104">
                  <c:v>125391.05202694649</c:v>
                </c:pt>
                <c:pt idx="105">
                  <c:v>123366.05202694649</c:v>
                </c:pt>
                <c:pt idx="106">
                  <c:v>121341.05202694649</c:v>
                </c:pt>
                <c:pt idx="107">
                  <c:v>119316.05202694649</c:v>
                </c:pt>
                <c:pt idx="108">
                  <c:v>117291.05202694649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ProductionCasingOutput!$H$2</c:f>
              <c:strCache>
                <c:ptCount val="1"/>
                <c:pt idx="0">
                  <c:v>Joint Tens. Strength</c:v>
                </c:pt>
              </c:strCache>
            </c:strRef>
          </c:tx>
          <c:marker>
            <c:symbol val="none"/>
          </c:marker>
          <c:xVal>
            <c:numRef>
              <c:f>ProductionCasingOutput!$H$3:$H$111</c:f>
              <c:numCache>
                <c:formatCode>General</c:formatCode>
                <c:ptCount val="109"/>
                <c:pt idx="0">
                  <c:v>769000</c:v>
                </c:pt>
                <c:pt idx="1">
                  <c:v>769000</c:v>
                </c:pt>
                <c:pt idx="2">
                  <c:v>769000</c:v>
                </c:pt>
                <c:pt idx="3">
                  <c:v>769000</c:v>
                </c:pt>
                <c:pt idx="4">
                  <c:v>769000</c:v>
                </c:pt>
                <c:pt idx="5">
                  <c:v>769000</c:v>
                </c:pt>
                <c:pt idx="6">
                  <c:v>769000</c:v>
                </c:pt>
                <c:pt idx="7">
                  <c:v>769000</c:v>
                </c:pt>
                <c:pt idx="8">
                  <c:v>769000</c:v>
                </c:pt>
                <c:pt idx="9">
                  <c:v>769000</c:v>
                </c:pt>
                <c:pt idx="10">
                  <c:v>769000</c:v>
                </c:pt>
                <c:pt idx="11">
                  <c:v>769000</c:v>
                </c:pt>
                <c:pt idx="12">
                  <c:v>769000</c:v>
                </c:pt>
                <c:pt idx="13">
                  <c:v>798000</c:v>
                </c:pt>
                <c:pt idx="14">
                  <c:v>798000</c:v>
                </c:pt>
                <c:pt idx="15">
                  <c:v>798000</c:v>
                </c:pt>
                <c:pt idx="16">
                  <c:v>798000</c:v>
                </c:pt>
                <c:pt idx="17">
                  <c:v>798000</c:v>
                </c:pt>
                <c:pt idx="18">
                  <c:v>798000</c:v>
                </c:pt>
                <c:pt idx="19">
                  <c:v>798000</c:v>
                </c:pt>
                <c:pt idx="20">
                  <c:v>798000</c:v>
                </c:pt>
                <c:pt idx="21">
                  <c:v>798000</c:v>
                </c:pt>
                <c:pt idx="22">
                  <c:v>798000</c:v>
                </c:pt>
                <c:pt idx="23">
                  <c:v>798000</c:v>
                </c:pt>
                <c:pt idx="24">
                  <c:v>798000</c:v>
                </c:pt>
                <c:pt idx="25">
                  <c:v>798000</c:v>
                </c:pt>
                <c:pt idx="26">
                  <c:v>798000</c:v>
                </c:pt>
                <c:pt idx="27">
                  <c:v>798000</c:v>
                </c:pt>
                <c:pt idx="28">
                  <c:v>798000</c:v>
                </c:pt>
                <c:pt idx="29">
                  <c:v>798000</c:v>
                </c:pt>
                <c:pt idx="30">
                  <c:v>798000</c:v>
                </c:pt>
                <c:pt idx="31">
                  <c:v>798000</c:v>
                </c:pt>
                <c:pt idx="32">
                  <c:v>798000</c:v>
                </c:pt>
                <c:pt idx="33">
                  <c:v>852000</c:v>
                </c:pt>
                <c:pt idx="34">
                  <c:v>852000</c:v>
                </c:pt>
                <c:pt idx="35">
                  <c:v>852000</c:v>
                </c:pt>
                <c:pt idx="36">
                  <c:v>852000</c:v>
                </c:pt>
                <c:pt idx="37">
                  <c:v>852000</c:v>
                </c:pt>
                <c:pt idx="38">
                  <c:v>852000</c:v>
                </c:pt>
                <c:pt idx="39">
                  <c:v>852000</c:v>
                </c:pt>
                <c:pt idx="40">
                  <c:v>852000</c:v>
                </c:pt>
                <c:pt idx="41">
                  <c:v>852000</c:v>
                </c:pt>
                <c:pt idx="42">
                  <c:v>852000</c:v>
                </c:pt>
                <c:pt idx="43">
                  <c:v>852000</c:v>
                </c:pt>
                <c:pt idx="44">
                  <c:v>852000</c:v>
                </c:pt>
                <c:pt idx="45">
                  <c:v>852000</c:v>
                </c:pt>
                <c:pt idx="46">
                  <c:v>852000</c:v>
                </c:pt>
                <c:pt idx="47">
                  <c:v>852000</c:v>
                </c:pt>
                <c:pt idx="48">
                  <c:v>716000</c:v>
                </c:pt>
                <c:pt idx="49">
                  <c:v>716000</c:v>
                </c:pt>
                <c:pt idx="50">
                  <c:v>716000</c:v>
                </c:pt>
                <c:pt idx="51">
                  <c:v>716000</c:v>
                </c:pt>
                <c:pt idx="52">
                  <c:v>716000</c:v>
                </c:pt>
                <c:pt idx="53">
                  <c:v>716000</c:v>
                </c:pt>
                <c:pt idx="54">
                  <c:v>716000</c:v>
                </c:pt>
                <c:pt idx="55">
                  <c:v>716000</c:v>
                </c:pt>
                <c:pt idx="56">
                  <c:v>716000</c:v>
                </c:pt>
                <c:pt idx="57">
                  <c:v>716000</c:v>
                </c:pt>
                <c:pt idx="58">
                  <c:v>716000</c:v>
                </c:pt>
                <c:pt idx="59">
                  <c:v>716000</c:v>
                </c:pt>
                <c:pt idx="60">
                  <c:v>716000</c:v>
                </c:pt>
                <c:pt idx="61">
                  <c:v>716000</c:v>
                </c:pt>
                <c:pt idx="62">
                  <c:v>716000</c:v>
                </c:pt>
                <c:pt idx="63">
                  <c:v>716000</c:v>
                </c:pt>
                <c:pt idx="64">
                  <c:v>716000</c:v>
                </c:pt>
                <c:pt idx="65">
                  <c:v>716000</c:v>
                </c:pt>
                <c:pt idx="66">
                  <c:v>716000</c:v>
                </c:pt>
                <c:pt idx="67">
                  <c:v>716000</c:v>
                </c:pt>
                <c:pt idx="68">
                  <c:v>716000</c:v>
                </c:pt>
                <c:pt idx="69">
                  <c:v>716000</c:v>
                </c:pt>
                <c:pt idx="70">
                  <c:v>716000</c:v>
                </c:pt>
                <c:pt idx="71">
                  <c:v>716000</c:v>
                </c:pt>
                <c:pt idx="72">
                  <c:v>716000</c:v>
                </c:pt>
                <c:pt idx="73">
                  <c:v>716000</c:v>
                </c:pt>
                <c:pt idx="74">
                  <c:v>716000</c:v>
                </c:pt>
                <c:pt idx="75">
                  <c:v>716000</c:v>
                </c:pt>
                <c:pt idx="76">
                  <c:v>716000</c:v>
                </c:pt>
                <c:pt idx="77">
                  <c:v>716000</c:v>
                </c:pt>
                <c:pt idx="78">
                  <c:v>716000</c:v>
                </c:pt>
                <c:pt idx="79">
                  <c:v>716000</c:v>
                </c:pt>
                <c:pt idx="80">
                  <c:v>716000</c:v>
                </c:pt>
                <c:pt idx="81">
                  <c:v>716000</c:v>
                </c:pt>
                <c:pt idx="82">
                  <c:v>716000</c:v>
                </c:pt>
                <c:pt idx="83">
                  <c:v>716000</c:v>
                </c:pt>
                <c:pt idx="84">
                  <c:v>716000</c:v>
                </c:pt>
                <c:pt idx="85">
                  <c:v>295000</c:v>
                </c:pt>
                <c:pt idx="86">
                  <c:v>295000</c:v>
                </c:pt>
                <c:pt idx="87">
                  <c:v>295000</c:v>
                </c:pt>
                <c:pt idx="88">
                  <c:v>295000</c:v>
                </c:pt>
                <c:pt idx="89">
                  <c:v>295000</c:v>
                </c:pt>
                <c:pt idx="90">
                  <c:v>295000</c:v>
                </c:pt>
                <c:pt idx="91">
                  <c:v>295000</c:v>
                </c:pt>
                <c:pt idx="92">
                  <c:v>295000</c:v>
                </c:pt>
                <c:pt idx="93">
                  <c:v>295000</c:v>
                </c:pt>
                <c:pt idx="94">
                  <c:v>295000</c:v>
                </c:pt>
                <c:pt idx="95">
                  <c:v>295000</c:v>
                </c:pt>
                <c:pt idx="96">
                  <c:v>295000</c:v>
                </c:pt>
                <c:pt idx="97">
                  <c:v>295000</c:v>
                </c:pt>
                <c:pt idx="98">
                  <c:v>295000</c:v>
                </c:pt>
                <c:pt idx="99">
                  <c:v>295000</c:v>
                </c:pt>
                <c:pt idx="100">
                  <c:v>295000</c:v>
                </c:pt>
                <c:pt idx="101">
                  <c:v>295000</c:v>
                </c:pt>
                <c:pt idx="102">
                  <c:v>295000</c:v>
                </c:pt>
                <c:pt idx="103">
                  <c:v>295000</c:v>
                </c:pt>
                <c:pt idx="104">
                  <c:v>295000</c:v>
                </c:pt>
                <c:pt idx="105">
                  <c:v>295000</c:v>
                </c:pt>
                <c:pt idx="106">
                  <c:v>295000</c:v>
                </c:pt>
                <c:pt idx="107">
                  <c:v>295000</c:v>
                </c:pt>
                <c:pt idx="108">
                  <c:v>295000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ProductionCasingOutput!$I$2</c:f>
              <c:strCache>
                <c:ptCount val="1"/>
                <c:pt idx="0">
                  <c:v>Joint Tensile</c:v>
                </c:pt>
              </c:strCache>
            </c:strRef>
          </c:tx>
          <c:marker>
            <c:symbol val="none"/>
          </c:marker>
          <c:xVal>
            <c:numRef>
              <c:f>ProductionCasingOutput!$I$3:$I$111</c:f>
              <c:numCache>
                <c:formatCode>General</c:formatCode>
                <c:ptCount val="109"/>
                <c:pt idx="0">
                  <c:v>667016.61658571055</c:v>
                </c:pt>
                <c:pt idx="1">
                  <c:v>661670.61658571055</c:v>
                </c:pt>
                <c:pt idx="2">
                  <c:v>656324.61658571055</c:v>
                </c:pt>
                <c:pt idx="3">
                  <c:v>650978.61658571055</c:v>
                </c:pt>
                <c:pt idx="4">
                  <c:v>645632.61658571055</c:v>
                </c:pt>
                <c:pt idx="5">
                  <c:v>640286.61658571055</c:v>
                </c:pt>
                <c:pt idx="6">
                  <c:v>634940.61658571055</c:v>
                </c:pt>
                <c:pt idx="7">
                  <c:v>629594.61658571055</c:v>
                </c:pt>
                <c:pt idx="8">
                  <c:v>624248.61658571055</c:v>
                </c:pt>
                <c:pt idx="9">
                  <c:v>618902.61658571055</c:v>
                </c:pt>
                <c:pt idx="10">
                  <c:v>613556.61658571055</c:v>
                </c:pt>
                <c:pt idx="11">
                  <c:v>608210.61658571055</c:v>
                </c:pt>
                <c:pt idx="12">
                  <c:v>602864.61658571055</c:v>
                </c:pt>
                <c:pt idx="13">
                  <c:v>592959.53293229092</c:v>
                </c:pt>
                <c:pt idx="14">
                  <c:v>585939.53293229092</c:v>
                </c:pt>
                <c:pt idx="15">
                  <c:v>578919.53293229092</c:v>
                </c:pt>
                <c:pt idx="16">
                  <c:v>571899.53293229092</c:v>
                </c:pt>
                <c:pt idx="17">
                  <c:v>564879.53293229092</c:v>
                </c:pt>
                <c:pt idx="18">
                  <c:v>557859.53293229092</c:v>
                </c:pt>
                <c:pt idx="19">
                  <c:v>550839.53293229092</c:v>
                </c:pt>
                <c:pt idx="20">
                  <c:v>543819.53293229092</c:v>
                </c:pt>
                <c:pt idx="21">
                  <c:v>536799.53293229092</c:v>
                </c:pt>
                <c:pt idx="22">
                  <c:v>529779.53293229092</c:v>
                </c:pt>
                <c:pt idx="23">
                  <c:v>522759.53293229098</c:v>
                </c:pt>
                <c:pt idx="24">
                  <c:v>515739.53293229098</c:v>
                </c:pt>
                <c:pt idx="25">
                  <c:v>508719.53293229098</c:v>
                </c:pt>
                <c:pt idx="26">
                  <c:v>501699.53293229098</c:v>
                </c:pt>
                <c:pt idx="27">
                  <c:v>494679.53293229098</c:v>
                </c:pt>
                <c:pt idx="28">
                  <c:v>487659.53293229098</c:v>
                </c:pt>
                <c:pt idx="29">
                  <c:v>480639.53293229098</c:v>
                </c:pt>
                <c:pt idx="30">
                  <c:v>473619.53293229098</c:v>
                </c:pt>
                <c:pt idx="31">
                  <c:v>466599.53293229098</c:v>
                </c:pt>
                <c:pt idx="32">
                  <c:v>459579.53293229098</c:v>
                </c:pt>
                <c:pt idx="33">
                  <c:v>457786.81910844933</c:v>
                </c:pt>
                <c:pt idx="34">
                  <c:v>451720.81910844933</c:v>
                </c:pt>
                <c:pt idx="35">
                  <c:v>445654.81910844933</c:v>
                </c:pt>
                <c:pt idx="36">
                  <c:v>439588.81910844933</c:v>
                </c:pt>
                <c:pt idx="37">
                  <c:v>433522.81910844933</c:v>
                </c:pt>
                <c:pt idx="38">
                  <c:v>427456.81910844933</c:v>
                </c:pt>
                <c:pt idx="39">
                  <c:v>421390.81910844933</c:v>
                </c:pt>
                <c:pt idx="40">
                  <c:v>415324.81910844933</c:v>
                </c:pt>
                <c:pt idx="41">
                  <c:v>409258.81910844933</c:v>
                </c:pt>
                <c:pt idx="42">
                  <c:v>403192.81910844933</c:v>
                </c:pt>
                <c:pt idx="43">
                  <c:v>397126.81910844933</c:v>
                </c:pt>
                <c:pt idx="44">
                  <c:v>391060.81910844933</c:v>
                </c:pt>
                <c:pt idx="45">
                  <c:v>384994.81910844933</c:v>
                </c:pt>
                <c:pt idx="46">
                  <c:v>378928.81910844933</c:v>
                </c:pt>
                <c:pt idx="47">
                  <c:v>372862.81910844933</c:v>
                </c:pt>
                <c:pt idx="48">
                  <c:v>377491.37240562146</c:v>
                </c:pt>
                <c:pt idx="49">
                  <c:v>372739.37240562146</c:v>
                </c:pt>
                <c:pt idx="50">
                  <c:v>367987.37240562146</c:v>
                </c:pt>
                <c:pt idx="51">
                  <c:v>363235.37240562146</c:v>
                </c:pt>
                <c:pt idx="52">
                  <c:v>358483.37240562146</c:v>
                </c:pt>
                <c:pt idx="53">
                  <c:v>353731.37240562146</c:v>
                </c:pt>
                <c:pt idx="54">
                  <c:v>348979.37240562146</c:v>
                </c:pt>
                <c:pt idx="55">
                  <c:v>344227.37240562146</c:v>
                </c:pt>
                <c:pt idx="56">
                  <c:v>339475.37240562146</c:v>
                </c:pt>
                <c:pt idx="57">
                  <c:v>334723.37240562146</c:v>
                </c:pt>
                <c:pt idx="58">
                  <c:v>329971.37240562146</c:v>
                </c:pt>
                <c:pt idx="59">
                  <c:v>325219.37240562146</c:v>
                </c:pt>
                <c:pt idx="60">
                  <c:v>320467.37240562146</c:v>
                </c:pt>
                <c:pt idx="61">
                  <c:v>315715.37240562146</c:v>
                </c:pt>
                <c:pt idx="62">
                  <c:v>310963.37240562146</c:v>
                </c:pt>
                <c:pt idx="63">
                  <c:v>306211.37240562146</c:v>
                </c:pt>
                <c:pt idx="64">
                  <c:v>301459.37240562146</c:v>
                </c:pt>
                <c:pt idx="65">
                  <c:v>296707.37240562146</c:v>
                </c:pt>
                <c:pt idx="66">
                  <c:v>291955.37240562146</c:v>
                </c:pt>
                <c:pt idx="67">
                  <c:v>287203.37240562146</c:v>
                </c:pt>
                <c:pt idx="68">
                  <c:v>282451.37240562146</c:v>
                </c:pt>
                <c:pt idx="69">
                  <c:v>277699.37240562146</c:v>
                </c:pt>
                <c:pt idx="70">
                  <c:v>272947.37240562146</c:v>
                </c:pt>
                <c:pt idx="71">
                  <c:v>268195.37240562146</c:v>
                </c:pt>
                <c:pt idx="72">
                  <c:v>263443.37240562146</c:v>
                </c:pt>
                <c:pt idx="73">
                  <c:v>258691.37240562146</c:v>
                </c:pt>
                <c:pt idx="74">
                  <c:v>253939.37240562146</c:v>
                </c:pt>
                <c:pt idx="75">
                  <c:v>249187.37240562146</c:v>
                </c:pt>
                <c:pt idx="76">
                  <c:v>244435.37240562146</c:v>
                </c:pt>
                <c:pt idx="77">
                  <c:v>239683.37240562146</c:v>
                </c:pt>
                <c:pt idx="78">
                  <c:v>234931.37240562146</c:v>
                </c:pt>
                <c:pt idx="79">
                  <c:v>230179.37240562146</c:v>
                </c:pt>
                <c:pt idx="80">
                  <c:v>225427.37240562146</c:v>
                </c:pt>
                <c:pt idx="81">
                  <c:v>220675.37240562146</c:v>
                </c:pt>
                <c:pt idx="82">
                  <c:v>215923.37240562146</c:v>
                </c:pt>
                <c:pt idx="83">
                  <c:v>211171.37240562146</c:v>
                </c:pt>
                <c:pt idx="84">
                  <c:v>206419.37240562146</c:v>
                </c:pt>
                <c:pt idx="85">
                  <c:v>166639.26243233579</c:v>
                </c:pt>
                <c:pt idx="86">
                  <c:v>164209.26243233579</c:v>
                </c:pt>
                <c:pt idx="87">
                  <c:v>161779.26243233579</c:v>
                </c:pt>
                <c:pt idx="88">
                  <c:v>159349.26243233579</c:v>
                </c:pt>
                <c:pt idx="89">
                  <c:v>156919.26243233579</c:v>
                </c:pt>
                <c:pt idx="90">
                  <c:v>154489.26243233579</c:v>
                </c:pt>
                <c:pt idx="91">
                  <c:v>152059.26243233579</c:v>
                </c:pt>
                <c:pt idx="92">
                  <c:v>149629.26243233579</c:v>
                </c:pt>
                <c:pt idx="93">
                  <c:v>147199.26243233579</c:v>
                </c:pt>
                <c:pt idx="94">
                  <c:v>144769.26243233579</c:v>
                </c:pt>
                <c:pt idx="95">
                  <c:v>142339.26243233579</c:v>
                </c:pt>
                <c:pt idx="96">
                  <c:v>139909.26243233579</c:v>
                </c:pt>
                <c:pt idx="97">
                  <c:v>137479.26243233579</c:v>
                </c:pt>
                <c:pt idx="98">
                  <c:v>135049.26243233579</c:v>
                </c:pt>
                <c:pt idx="99">
                  <c:v>132619.26243233579</c:v>
                </c:pt>
                <c:pt idx="100">
                  <c:v>130189.26243233579</c:v>
                </c:pt>
                <c:pt idx="101">
                  <c:v>127759.26243233579</c:v>
                </c:pt>
                <c:pt idx="102">
                  <c:v>125329.26243233579</c:v>
                </c:pt>
                <c:pt idx="103">
                  <c:v>122899.26243233579</c:v>
                </c:pt>
                <c:pt idx="104">
                  <c:v>120469.26243233579</c:v>
                </c:pt>
                <c:pt idx="105">
                  <c:v>118039.26243233579</c:v>
                </c:pt>
                <c:pt idx="106">
                  <c:v>115609.26243233579</c:v>
                </c:pt>
                <c:pt idx="107">
                  <c:v>113179.26243233579</c:v>
                </c:pt>
                <c:pt idx="108">
                  <c:v>110749.26243233579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66400"/>
        <c:axId val="337450496"/>
      </c:scatterChart>
      <c:valAx>
        <c:axId val="33736640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450496"/>
        <c:crosses val="autoZero"/>
        <c:crossBetween val="midCat"/>
      </c:valAx>
      <c:valAx>
        <c:axId val="33745049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366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834580052493442"/>
          <c:y val="0.30704469233012543"/>
          <c:w val="0.30665419947506561"/>
          <c:h val="0.334868766404199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Production Casing-</a:t>
            </a:r>
            <a:r>
              <a:rPr lang="en-US" baseline="0"/>
              <a:t> Burst Pressure Test</a:t>
            </a:r>
            <a:endParaRPr lang="en-US"/>
          </a:p>
        </c:rich>
      </c:tx>
      <c:layout>
        <c:manualLayout>
          <c:xMode val="edge"/>
          <c:yMode val="edge"/>
          <c:x val="6.5868110236220467E-2"/>
          <c:y val="0.8379629629629629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47462817147855"/>
          <c:y val="0.21403579760863226"/>
          <c:w val="0.47369072615923008"/>
          <c:h val="0.59104512977544477"/>
        </c:manualLayout>
      </c:layout>
      <c:scatterChart>
        <c:scatterStyle val="smoothMarker"/>
        <c:varyColors val="0"/>
        <c:ser>
          <c:idx val="3"/>
          <c:order val="0"/>
          <c:tx>
            <c:strRef>
              <c:f>ProductionCasingOutput!$M$2</c:f>
              <c:strCache>
                <c:ptCount val="1"/>
                <c:pt idx="0">
                  <c:v>Burst Strength</c:v>
                </c:pt>
              </c:strCache>
            </c:strRef>
          </c:tx>
          <c:marker>
            <c:symbol val="none"/>
          </c:marker>
          <c:xVal>
            <c:numRef>
              <c:f>ProductionCasingOutput!$M$3:$M$111</c:f>
              <c:numCache>
                <c:formatCode>General</c:formatCode>
                <c:ptCount val="109"/>
                <c:pt idx="0">
                  <c:v>9470</c:v>
                </c:pt>
                <c:pt idx="1">
                  <c:v>9470</c:v>
                </c:pt>
                <c:pt idx="2">
                  <c:v>9470</c:v>
                </c:pt>
                <c:pt idx="3">
                  <c:v>9470</c:v>
                </c:pt>
                <c:pt idx="4">
                  <c:v>9470</c:v>
                </c:pt>
                <c:pt idx="5">
                  <c:v>9470</c:v>
                </c:pt>
                <c:pt idx="6">
                  <c:v>9470</c:v>
                </c:pt>
                <c:pt idx="7">
                  <c:v>9470</c:v>
                </c:pt>
                <c:pt idx="8">
                  <c:v>9470</c:v>
                </c:pt>
                <c:pt idx="9">
                  <c:v>9470</c:v>
                </c:pt>
                <c:pt idx="10">
                  <c:v>9470</c:v>
                </c:pt>
                <c:pt idx="11">
                  <c:v>9470</c:v>
                </c:pt>
                <c:pt idx="12">
                  <c:v>9470</c:v>
                </c:pt>
                <c:pt idx="13">
                  <c:v>9180</c:v>
                </c:pt>
                <c:pt idx="14">
                  <c:v>9180</c:v>
                </c:pt>
                <c:pt idx="15">
                  <c:v>9180</c:v>
                </c:pt>
                <c:pt idx="16">
                  <c:v>9180</c:v>
                </c:pt>
                <c:pt idx="17">
                  <c:v>9180</c:v>
                </c:pt>
                <c:pt idx="18">
                  <c:v>9180</c:v>
                </c:pt>
                <c:pt idx="19">
                  <c:v>9180</c:v>
                </c:pt>
                <c:pt idx="20">
                  <c:v>9180</c:v>
                </c:pt>
                <c:pt idx="21">
                  <c:v>9180</c:v>
                </c:pt>
                <c:pt idx="22">
                  <c:v>9180</c:v>
                </c:pt>
                <c:pt idx="23">
                  <c:v>9180</c:v>
                </c:pt>
                <c:pt idx="24">
                  <c:v>9180</c:v>
                </c:pt>
                <c:pt idx="25">
                  <c:v>9180</c:v>
                </c:pt>
                <c:pt idx="26">
                  <c:v>9180</c:v>
                </c:pt>
                <c:pt idx="27">
                  <c:v>9180</c:v>
                </c:pt>
                <c:pt idx="28">
                  <c:v>9180</c:v>
                </c:pt>
                <c:pt idx="29">
                  <c:v>9180</c:v>
                </c:pt>
                <c:pt idx="30">
                  <c:v>9180</c:v>
                </c:pt>
                <c:pt idx="31">
                  <c:v>9180</c:v>
                </c:pt>
                <c:pt idx="32">
                  <c:v>9180</c:v>
                </c:pt>
                <c:pt idx="33">
                  <c:v>7900</c:v>
                </c:pt>
                <c:pt idx="34">
                  <c:v>7900</c:v>
                </c:pt>
                <c:pt idx="35">
                  <c:v>7900</c:v>
                </c:pt>
                <c:pt idx="36">
                  <c:v>7900</c:v>
                </c:pt>
                <c:pt idx="37">
                  <c:v>7900</c:v>
                </c:pt>
                <c:pt idx="38">
                  <c:v>7900</c:v>
                </c:pt>
                <c:pt idx="39">
                  <c:v>7900</c:v>
                </c:pt>
                <c:pt idx="40">
                  <c:v>7900</c:v>
                </c:pt>
                <c:pt idx="41">
                  <c:v>7900</c:v>
                </c:pt>
                <c:pt idx="42">
                  <c:v>7900</c:v>
                </c:pt>
                <c:pt idx="43">
                  <c:v>7900</c:v>
                </c:pt>
                <c:pt idx="44">
                  <c:v>7900</c:v>
                </c:pt>
                <c:pt idx="45">
                  <c:v>7900</c:v>
                </c:pt>
                <c:pt idx="46">
                  <c:v>7900</c:v>
                </c:pt>
                <c:pt idx="47">
                  <c:v>7900</c:v>
                </c:pt>
                <c:pt idx="48">
                  <c:v>7150</c:v>
                </c:pt>
                <c:pt idx="49">
                  <c:v>7150</c:v>
                </c:pt>
                <c:pt idx="50">
                  <c:v>7150</c:v>
                </c:pt>
                <c:pt idx="51">
                  <c:v>7150</c:v>
                </c:pt>
                <c:pt idx="52">
                  <c:v>7150</c:v>
                </c:pt>
                <c:pt idx="53">
                  <c:v>7150</c:v>
                </c:pt>
                <c:pt idx="54">
                  <c:v>7150</c:v>
                </c:pt>
                <c:pt idx="55">
                  <c:v>7150</c:v>
                </c:pt>
                <c:pt idx="56">
                  <c:v>7150</c:v>
                </c:pt>
                <c:pt idx="57">
                  <c:v>7150</c:v>
                </c:pt>
                <c:pt idx="58">
                  <c:v>7150</c:v>
                </c:pt>
                <c:pt idx="59">
                  <c:v>7150</c:v>
                </c:pt>
                <c:pt idx="60">
                  <c:v>7150</c:v>
                </c:pt>
                <c:pt idx="61">
                  <c:v>7150</c:v>
                </c:pt>
                <c:pt idx="62">
                  <c:v>7150</c:v>
                </c:pt>
                <c:pt idx="63">
                  <c:v>7150</c:v>
                </c:pt>
                <c:pt idx="64">
                  <c:v>7150</c:v>
                </c:pt>
                <c:pt idx="65">
                  <c:v>7150</c:v>
                </c:pt>
                <c:pt idx="66">
                  <c:v>7150</c:v>
                </c:pt>
                <c:pt idx="67">
                  <c:v>7150</c:v>
                </c:pt>
                <c:pt idx="68">
                  <c:v>7150</c:v>
                </c:pt>
                <c:pt idx="69">
                  <c:v>7150</c:v>
                </c:pt>
                <c:pt idx="70">
                  <c:v>7150</c:v>
                </c:pt>
                <c:pt idx="71">
                  <c:v>7150</c:v>
                </c:pt>
                <c:pt idx="72">
                  <c:v>7150</c:v>
                </c:pt>
                <c:pt idx="73">
                  <c:v>7150</c:v>
                </c:pt>
                <c:pt idx="74">
                  <c:v>7150</c:v>
                </c:pt>
                <c:pt idx="75">
                  <c:v>7150</c:v>
                </c:pt>
                <c:pt idx="76">
                  <c:v>7150</c:v>
                </c:pt>
                <c:pt idx="77">
                  <c:v>7150</c:v>
                </c:pt>
                <c:pt idx="78">
                  <c:v>7150</c:v>
                </c:pt>
                <c:pt idx="79">
                  <c:v>7150</c:v>
                </c:pt>
                <c:pt idx="80">
                  <c:v>7150</c:v>
                </c:pt>
                <c:pt idx="81">
                  <c:v>7150</c:v>
                </c:pt>
                <c:pt idx="82">
                  <c:v>7150</c:v>
                </c:pt>
                <c:pt idx="83">
                  <c:v>7150</c:v>
                </c:pt>
                <c:pt idx="84">
                  <c:v>7150</c:v>
                </c:pt>
                <c:pt idx="85">
                  <c:v>7330</c:v>
                </c:pt>
                <c:pt idx="86">
                  <c:v>7330</c:v>
                </c:pt>
                <c:pt idx="87">
                  <c:v>7330</c:v>
                </c:pt>
                <c:pt idx="88">
                  <c:v>7330</c:v>
                </c:pt>
                <c:pt idx="89">
                  <c:v>7330</c:v>
                </c:pt>
                <c:pt idx="90">
                  <c:v>7330</c:v>
                </c:pt>
                <c:pt idx="91">
                  <c:v>7330</c:v>
                </c:pt>
                <c:pt idx="92">
                  <c:v>7330</c:v>
                </c:pt>
                <c:pt idx="93">
                  <c:v>7330</c:v>
                </c:pt>
                <c:pt idx="94">
                  <c:v>7330</c:v>
                </c:pt>
                <c:pt idx="95">
                  <c:v>7330</c:v>
                </c:pt>
                <c:pt idx="96">
                  <c:v>7330</c:v>
                </c:pt>
                <c:pt idx="97">
                  <c:v>7330</c:v>
                </c:pt>
                <c:pt idx="98">
                  <c:v>7330</c:v>
                </c:pt>
                <c:pt idx="99">
                  <c:v>7330</c:v>
                </c:pt>
                <c:pt idx="100">
                  <c:v>7330</c:v>
                </c:pt>
                <c:pt idx="101">
                  <c:v>7330</c:v>
                </c:pt>
                <c:pt idx="102">
                  <c:v>7330</c:v>
                </c:pt>
                <c:pt idx="103">
                  <c:v>7330</c:v>
                </c:pt>
                <c:pt idx="104">
                  <c:v>7330</c:v>
                </c:pt>
                <c:pt idx="105">
                  <c:v>7330</c:v>
                </c:pt>
                <c:pt idx="106">
                  <c:v>7330</c:v>
                </c:pt>
                <c:pt idx="107">
                  <c:v>7330</c:v>
                </c:pt>
                <c:pt idx="108">
                  <c:v>7330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ProductionCasingOutput!$N$2</c:f>
              <c:strCache>
                <c:ptCount val="1"/>
                <c:pt idx="0">
                  <c:v>Burst</c:v>
                </c:pt>
              </c:strCache>
            </c:strRef>
          </c:tx>
          <c:marker>
            <c:symbol val="none"/>
          </c:marker>
          <c:xVal>
            <c:numRef>
              <c:f>ProductionCasingOutput!$N$3:$N$111</c:f>
              <c:numCache>
                <c:formatCode>General</c:formatCode>
                <c:ptCount val="109"/>
                <c:pt idx="0">
                  <c:v>4380.3825244623313</c:v>
                </c:pt>
                <c:pt idx="1">
                  <c:v>4341.3662570136057</c:v>
                </c:pt>
                <c:pt idx="2">
                  <c:v>4302.3499895648811</c:v>
                </c:pt>
                <c:pt idx="3">
                  <c:v>4263.3337221161555</c:v>
                </c:pt>
                <c:pt idx="4">
                  <c:v>4224.31745466743</c:v>
                </c:pt>
                <c:pt idx="5">
                  <c:v>4185.3011872187044</c:v>
                </c:pt>
                <c:pt idx="6">
                  <c:v>4146.2849197699798</c:v>
                </c:pt>
                <c:pt idx="7">
                  <c:v>4107.2686523212542</c:v>
                </c:pt>
                <c:pt idx="8">
                  <c:v>4068.2523848725291</c:v>
                </c:pt>
                <c:pt idx="9">
                  <c:v>4029.2361174238035</c:v>
                </c:pt>
                <c:pt idx="10">
                  <c:v>3990.2198499750784</c:v>
                </c:pt>
                <c:pt idx="11">
                  <c:v>3951.2035825263529</c:v>
                </c:pt>
                <c:pt idx="12">
                  <c:v>3912.1873150776273</c:v>
                </c:pt>
                <c:pt idx="13">
                  <c:v>3873.1710476289027</c:v>
                </c:pt>
                <c:pt idx="14">
                  <c:v>3834.1547801801771</c:v>
                </c:pt>
                <c:pt idx="15">
                  <c:v>3795.1385127314516</c:v>
                </c:pt>
                <c:pt idx="16">
                  <c:v>3756.122245282726</c:v>
                </c:pt>
                <c:pt idx="17">
                  <c:v>3717.1059778340009</c:v>
                </c:pt>
                <c:pt idx="18">
                  <c:v>3678.0897103852753</c:v>
                </c:pt>
                <c:pt idx="19">
                  <c:v>3639.0734429365502</c:v>
                </c:pt>
                <c:pt idx="20">
                  <c:v>3600.0571754878251</c:v>
                </c:pt>
                <c:pt idx="21">
                  <c:v>3561.0409080390996</c:v>
                </c:pt>
                <c:pt idx="22">
                  <c:v>3522.0246405903745</c:v>
                </c:pt>
                <c:pt idx="23">
                  <c:v>3483.0083731416494</c:v>
                </c:pt>
                <c:pt idx="24">
                  <c:v>3443.9921056929238</c:v>
                </c:pt>
                <c:pt idx="25">
                  <c:v>3404.9758382441983</c:v>
                </c:pt>
                <c:pt idx="26">
                  <c:v>3365.9595707954732</c:v>
                </c:pt>
                <c:pt idx="27">
                  <c:v>3326.9433033467485</c:v>
                </c:pt>
                <c:pt idx="28">
                  <c:v>3287.9270358980225</c:v>
                </c:pt>
                <c:pt idx="29">
                  <c:v>3248.9107684492974</c:v>
                </c:pt>
                <c:pt idx="30">
                  <c:v>3209.8945010005723</c:v>
                </c:pt>
                <c:pt idx="31">
                  <c:v>3170.8782335518467</c:v>
                </c:pt>
                <c:pt idx="32">
                  <c:v>3131.8619661031212</c:v>
                </c:pt>
                <c:pt idx="33">
                  <c:v>3092.8456986543961</c:v>
                </c:pt>
                <c:pt idx="34">
                  <c:v>3053.8294312056714</c:v>
                </c:pt>
                <c:pt idx="35">
                  <c:v>3014.8131637569459</c:v>
                </c:pt>
                <c:pt idx="36">
                  <c:v>2975.7968963082203</c:v>
                </c:pt>
                <c:pt idx="37">
                  <c:v>2936.7806288594952</c:v>
                </c:pt>
                <c:pt idx="38">
                  <c:v>2897.7643614107697</c:v>
                </c:pt>
                <c:pt idx="39">
                  <c:v>2858.7480939620441</c:v>
                </c:pt>
                <c:pt idx="40">
                  <c:v>2819.731826513319</c:v>
                </c:pt>
                <c:pt idx="41">
                  <c:v>2780.7155590645939</c:v>
                </c:pt>
                <c:pt idx="42">
                  <c:v>2741.6992916158688</c:v>
                </c:pt>
                <c:pt idx="43">
                  <c:v>2702.6830241671432</c:v>
                </c:pt>
                <c:pt idx="44">
                  <c:v>2663.6667567184181</c:v>
                </c:pt>
                <c:pt idx="45">
                  <c:v>2624.650489269693</c:v>
                </c:pt>
                <c:pt idx="46">
                  <c:v>2585.6342218209675</c:v>
                </c:pt>
                <c:pt idx="47">
                  <c:v>2546.6179543722419</c:v>
                </c:pt>
                <c:pt idx="48">
                  <c:v>2507.6016869235168</c:v>
                </c:pt>
                <c:pt idx="49">
                  <c:v>2468.5854194747917</c:v>
                </c:pt>
                <c:pt idx="50">
                  <c:v>2429.5691520260666</c:v>
                </c:pt>
                <c:pt idx="51">
                  <c:v>2390.552884577341</c:v>
                </c:pt>
                <c:pt idx="52">
                  <c:v>2351.5366171286159</c:v>
                </c:pt>
                <c:pt idx="53">
                  <c:v>2312.5203496798904</c:v>
                </c:pt>
                <c:pt idx="54">
                  <c:v>2273.5040822311653</c:v>
                </c:pt>
                <c:pt idx="55">
                  <c:v>2234.4878147824397</c:v>
                </c:pt>
                <c:pt idx="56">
                  <c:v>2195.4715473337142</c:v>
                </c:pt>
                <c:pt idx="57">
                  <c:v>2156.4552798849895</c:v>
                </c:pt>
                <c:pt idx="58">
                  <c:v>2117.439012436264</c:v>
                </c:pt>
                <c:pt idx="59">
                  <c:v>2078.4227449875389</c:v>
                </c:pt>
                <c:pt idx="60">
                  <c:v>2039.4064775388133</c:v>
                </c:pt>
                <c:pt idx="61">
                  <c:v>2000.3902100900884</c:v>
                </c:pt>
                <c:pt idx="62">
                  <c:v>1961.3739426413629</c:v>
                </c:pt>
                <c:pt idx="63">
                  <c:v>1922.3576751926378</c:v>
                </c:pt>
                <c:pt idx="64">
                  <c:v>1883.3414077439122</c:v>
                </c:pt>
                <c:pt idx="65">
                  <c:v>1844.3251402951867</c:v>
                </c:pt>
                <c:pt idx="66">
                  <c:v>1805.3088728464618</c:v>
                </c:pt>
                <c:pt idx="67">
                  <c:v>1766.2926053977362</c:v>
                </c:pt>
                <c:pt idx="68">
                  <c:v>1727.2763379490111</c:v>
                </c:pt>
                <c:pt idx="69">
                  <c:v>1688.2600705002858</c:v>
                </c:pt>
                <c:pt idx="70">
                  <c:v>1649.2438030515607</c:v>
                </c:pt>
                <c:pt idx="71">
                  <c:v>1610.2275356028351</c:v>
                </c:pt>
                <c:pt idx="72">
                  <c:v>1571.2112681541103</c:v>
                </c:pt>
                <c:pt idx="73">
                  <c:v>1532.1950007053847</c:v>
                </c:pt>
                <c:pt idx="74">
                  <c:v>1493.1787332566596</c:v>
                </c:pt>
                <c:pt idx="75">
                  <c:v>1454.162465807934</c:v>
                </c:pt>
                <c:pt idx="76">
                  <c:v>1415.1461983592087</c:v>
                </c:pt>
                <c:pt idx="77">
                  <c:v>1376.1299309104836</c:v>
                </c:pt>
                <c:pt idx="78">
                  <c:v>1337.1136634617581</c:v>
                </c:pt>
                <c:pt idx="79">
                  <c:v>1298.0973960130329</c:v>
                </c:pt>
                <c:pt idx="80">
                  <c:v>1259.0811285643076</c:v>
                </c:pt>
                <c:pt idx="81">
                  <c:v>1220.0648611155825</c:v>
                </c:pt>
                <c:pt idx="82">
                  <c:v>1181.048593666857</c:v>
                </c:pt>
                <c:pt idx="83">
                  <c:v>1142.0323262181321</c:v>
                </c:pt>
                <c:pt idx="84">
                  <c:v>1103.0160587694065</c:v>
                </c:pt>
                <c:pt idx="85">
                  <c:v>6428.857142857144</c:v>
                </c:pt>
                <c:pt idx="86">
                  <c:v>6433.3142857142857</c:v>
                </c:pt>
                <c:pt idx="87">
                  <c:v>6437.7714285714283</c:v>
                </c:pt>
                <c:pt idx="88">
                  <c:v>6442.2285714285708</c:v>
                </c:pt>
                <c:pt idx="89">
                  <c:v>6446.6857142857143</c:v>
                </c:pt>
                <c:pt idx="90">
                  <c:v>6451.1428571428578</c:v>
                </c:pt>
                <c:pt idx="91">
                  <c:v>6455.5999999999995</c:v>
                </c:pt>
                <c:pt idx="92">
                  <c:v>6460.057142857142</c:v>
                </c:pt>
                <c:pt idx="93">
                  <c:v>6464.5142857142873</c:v>
                </c:pt>
                <c:pt idx="94">
                  <c:v>6468.971428571429</c:v>
                </c:pt>
                <c:pt idx="95">
                  <c:v>6473.4285714285716</c:v>
                </c:pt>
                <c:pt idx="96">
                  <c:v>6477.8857142857141</c:v>
                </c:pt>
                <c:pt idx="97">
                  <c:v>6482.3428571428585</c:v>
                </c:pt>
                <c:pt idx="98">
                  <c:v>6486.8</c:v>
                </c:pt>
                <c:pt idx="99">
                  <c:v>6491.2571428571428</c:v>
                </c:pt>
                <c:pt idx="100">
                  <c:v>6495.7142857142853</c:v>
                </c:pt>
                <c:pt idx="101">
                  <c:v>6500.171428571427</c:v>
                </c:pt>
                <c:pt idx="102">
                  <c:v>6504.6285714285723</c:v>
                </c:pt>
                <c:pt idx="103">
                  <c:v>6509.0857142857149</c:v>
                </c:pt>
                <c:pt idx="104">
                  <c:v>6513.5428571428574</c:v>
                </c:pt>
                <c:pt idx="105">
                  <c:v>6517.9999999999991</c:v>
                </c:pt>
                <c:pt idx="106">
                  <c:v>6522.4571428571435</c:v>
                </c:pt>
                <c:pt idx="107">
                  <c:v>6526.9142857142861</c:v>
                </c:pt>
                <c:pt idx="108">
                  <c:v>6531.3714285714286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468032"/>
        <c:axId val="337482496"/>
      </c:scatterChart>
      <c:valAx>
        <c:axId val="33746803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482496"/>
        <c:crosses val="autoZero"/>
        <c:crossBetween val="midCat"/>
      </c:valAx>
      <c:valAx>
        <c:axId val="33748249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468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834580052493442"/>
          <c:y val="0.30704469233012543"/>
          <c:w val="0.24376718889520252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Production Casing-</a:t>
            </a:r>
            <a:r>
              <a:rPr lang="en-US" baseline="0"/>
              <a:t> Leaky tubing Test</a:t>
            </a:r>
            <a:endParaRPr lang="en-US"/>
          </a:p>
        </c:rich>
      </c:tx>
      <c:layout>
        <c:manualLayout>
          <c:xMode val="edge"/>
          <c:yMode val="edge"/>
          <c:x val="6.5868110236220467E-2"/>
          <c:y val="0.8379629629629629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47462817147855"/>
          <c:y val="0.21403579760863226"/>
          <c:w val="0.47369072615923008"/>
          <c:h val="0.59104512977544477"/>
        </c:manualLayout>
      </c:layout>
      <c:scatterChart>
        <c:scatterStyle val="smoothMarker"/>
        <c:varyColors val="0"/>
        <c:ser>
          <c:idx val="3"/>
          <c:order val="0"/>
          <c:tx>
            <c:strRef>
              <c:f>ProductionCasingOutput!$T$2</c:f>
              <c:strCache>
                <c:ptCount val="1"/>
                <c:pt idx="0">
                  <c:v>Burst Strength</c:v>
                </c:pt>
              </c:strCache>
            </c:strRef>
          </c:tx>
          <c:marker>
            <c:symbol val="none"/>
          </c:marker>
          <c:xVal>
            <c:numRef>
              <c:f>ProductionCasingOutput!$T$3:$T$111</c:f>
              <c:numCache>
                <c:formatCode>General</c:formatCode>
                <c:ptCount val="109"/>
                <c:pt idx="0">
                  <c:v>10690</c:v>
                </c:pt>
                <c:pt idx="1">
                  <c:v>10690</c:v>
                </c:pt>
                <c:pt idx="2">
                  <c:v>10690</c:v>
                </c:pt>
                <c:pt idx="3">
                  <c:v>10690</c:v>
                </c:pt>
                <c:pt idx="4">
                  <c:v>10690</c:v>
                </c:pt>
                <c:pt idx="5">
                  <c:v>10690</c:v>
                </c:pt>
                <c:pt idx="6">
                  <c:v>10690</c:v>
                </c:pt>
                <c:pt idx="7">
                  <c:v>10690</c:v>
                </c:pt>
                <c:pt idx="8">
                  <c:v>10690</c:v>
                </c:pt>
                <c:pt idx="9">
                  <c:v>10690</c:v>
                </c:pt>
                <c:pt idx="10">
                  <c:v>10690</c:v>
                </c:pt>
                <c:pt idx="11">
                  <c:v>10690</c:v>
                </c:pt>
                <c:pt idx="12">
                  <c:v>10690</c:v>
                </c:pt>
                <c:pt idx="13">
                  <c:v>9020</c:v>
                </c:pt>
                <c:pt idx="14">
                  <c:v>9020</c:v>
                </c:pt>
                <c:pt idx="15">
                  <c:v>9020</c:v>
                </c:pt>
                <c:pt idx="16">
                  <c:v>9020</c:v>
                </c:pt>
                <c:pt idx="17">
                  <c:v>9020</c:v>
                </c:pt>
                <c:pt idx="18">
                  <c:v>9020</c:v>
                </c:pt>
                <c:pt idx="19">
                  <c:v>9020</c:v>
                </c:pt>
                <c:pt idx="20">
                  <c:v>9020</c:v>
                </c:pt>
                <c:pt idx="21">
                  <c:v>9020</c:v>
                </c:pt>
                <c:pt idx="22">
                  <c:v>9020</c:v>
                </c:pt>
                <c:pt idx="23">
                  <c:v>9020</c:v>
                </c:pt>
                <c:pt idx="24">
                  <c:v>9020</c:v>
                </c:pt>
                <c:pt idx="25">
                  <c:v>9020</c:v>
                </c:pt>
                <c:pt idx="26">
                  <c:v>9020</c:v>
                </c:pt>
                <c:pt idx="27">
                  <c:v>9020</c:v>
                </c:pt>
                <c:pt idx="28">
                  <c:v>9020</c:v>
                </c:pt>
                <c:pt idx="29">
                  <c:v>9020</c:v>
                </c:pt>
                <c:pt idx="30">
                  <c:v>9020</c:v>
                </c:pt>
                <c:pt idx="31">
                  <c:v>9020</c:v>
                </c:pt>
                <c:pt idx="32">
                  <c:v>9020</c:v>
                </c:pt>
                <c:pt idx="33">
                  <c:v>7780</c:v>
                </c:pt>
                <c:pt idx="34">
                  <c:v>7780</c:v>
                </c:pt>
                <c:pt idx="35">
                  <c:v>7780</c:v>
                </c:pt>
                <c:pt idx="36">
                  <c:v>7780</c:v>
                </c:pt>
                <c:pt idx="37">
                  <c:v>7780</c:v>
                </c:pt>
                <c:pt idx="38">
                  <c:v>7780</c:v>
                </c:pt>
                <c:pt idx="39">
                  <c:v>7780</c:v>
                </c:pt>
                <c:pt idx="40">
                  <c:v>7780</c:v>
                </c:pt>
                <c:pt idx="41">
                  <c:v>7780</c:v>
                </c:pt>
                <c:pt idx="42">
                  <c:v>7780</c:v>
                </c:pt>
                <c:pt idx="43">
                  <c:v>7780</c:v>
                </c:pt>
                <c:pt idx="44">
                  <c:v>7780</c:v>
                </c:pt>
                <c:pt idx="45">
                  <c:v>7780</c:v>
                </c:pt>
                <c:pt idx="46">
                  <c:v>7780</c:v>
                </c:pt>
                <c:pt idx="47">
                  <c:v>7780</c:v>
                </c:pt>
                <c:pt idx="48">
                  <c:v>7330</c:v>
                </c:pt>
                <c:pt idx="49">
                  <c:v>7330</c:v>
                </c:pt>
                <c:pt idx="50">
                  <c:v>7330</c:v>
                </c:pt>
                <c:pt idx="51">
                  <c:v>7330</c:v>
                </c:pt>
                <c:pt idx="52">
                  <c:v>7330</c:v>
                </c:pt>
                <c:pt idx="53">
                  <c:v>7330</c:v>
                </c:pt>
                <c:pt idx="54">
                  <c:v>7330</c:v>
                </c:pt>
                <c:pt idx="55">
                  <c:v>7330</c:v>
                </c:pt>
                <c:pt idx="56">
                  <c:v>7330</c:v>
                </c:pt>
                <c:pt idx="57">
                  <c:v>7330</c:v>
                </c:pt>
                <c:pt idx="58">
                  <c:v>7330</c:v>
                </c:pt>
                <c:pt idx="59">
                  <c:v>7330</c:v>
                </c:pt>
                <c:pt idx="60">
                  <c:v>7330</c:v>
                </c:pt>
                <c:pt idx="61">
                  <c:v>7330</c:v>
                </c:pt>
                <c:pt idx="62">
                  <c:v>7330</c:v>
                </c:pt>
                <c:pt idx="63">
                  <c:v>7330</c:v>
                </c:pt>
                <c:pt idx="64">
                  <c:v>7330</c:v>
                </c:pt>
                <c:pt idx="65">
                  <c:v>7330</c:v>
                </c:pt>
                <c:pt idx="66">
                  <c:v>7330</c:v>
                </c:pt>
                <c:pt idx="67">
                  <c:v>7330</c:v>
                </c:pt>
                <c:pt idx="68">
                  <c:v>7330</c:v>
                </c:pt>
                <c:pt idx="69">
                  <c:v>7330</c:v>
                </c:pt>
                <c:pt idx="70">
                  <c:v>7330</c:v>
                </c:pt>
                <c:pt idx="71">
                  <c:v>7330</c:v>
                </c:pt>
                <c:pt idx="72">
                  <c:v>7330</c:v>
                </c:pt>
                <c:pt idx="73">
                  <c:v>7330</c:v>
                </c:pt>
                <c:pt idx="74">
                  <c:v>7330</c:v>
                </c:pt>
                <c:pt idx="75">
                  <c:v>7330</c:v>
                </c:pt>
                <c:pt idx="76">
                  <c:v>7330</c:v>
                </c:pt>
                <c:pt idx="77">
                  <c:v>7330</c:v>
                </c:pt>
                <c:pt idx="78">
                  <c:v>7330</c:v>
                </c:pt>
                <c:pt idx="79">
                  <c:v>7330</c:v>
                </c:pt>
                <c:pt idx="80">
                  <c:v>7330</c:v>
                </c:pt>
                <c:pt idx="81">
                  <c:v>7330</c:v>
                </c:pt>
                <c:pt idx="82">
                  <c:v>7330</c:v>
                </c:pt>
                <c:pt idx="83">
                  <c:v>7330</c:v>
                </c:pt>
                <c:pt idx="84">
                  <c:v>7330</c:v>
                </c:pt>
                <c:pt idx="85">
                  <c:v>7330</c:v>
                </c:pt>
                <c:pt idx="86">
                  <c:v>7330</c:v>
                </c:pt>
                <c:pt idx="87">
                  <c:v>7330</c:v>
                </c:pt>
                <c:pt idx="88">
                  <c:v>7330</c:v>
                </c:pt>
                <c:pt idx="89">
                  <c:v>7330</c:v>
                </c:pt>
                <c:pt idx="90">
                  <c:v>7330</c:v>
                </c:pt>
                <c:pt idx="91">
                  <c:v>7330</c:v>
                </c:pt>
                <c:pt idx="92">
                  <c:v>7330</c:v>
                </c:pt>
                <c:pt idx="93">
                  <c:v>7330</c:v>
                </c:pt>
                <c:pt idx="94">
                  <c:v>7330</c:v>
                </c:pt>
                <c:pt idx="95">
                  <c:v>7330</c:v>
                </c:pt>
                <c:pt idx="96">
                  <c:v>7330</c:v>
                </c:pt>
                <c:pt idx="97">
                  <c:v>7330</c:v>
                </c:pt>
                <c:pt idx="98">
                  <c:v>7330</c:v>
                </c:pt>
                <c:pt idx="99">
                  <c:v>7330</c:v>
                </c:pt>
                <c:pt idx="100">
                  <c:v>7330</c:v>
                </c:pt>
                <c:pt idx="101">
                  <c:v>7330</c:v>
                </c:pt>
                <c:pt idx="102">
                  <c:v>7330</c:v>
                </c:pt>
                <c:pt idx="103">
                  <c:v>7330</c:v>
                </c:pt>
                <c:pt idx="104">
                  <c:v>7330</c:v>
                </c:pt>
                <c:pt idx="105">
                  <c:v>7330</c:v>
                </c:pt>
                <c:pt idx="106">
                  <c:v>7330</c:v>
                </c:pt>
                <c:pt idx="107">
                  <c:v>7330</c:v>
                </c:pt>
                <c:pt idx="108">
                  <c:v>7330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ProductionCasingOutput!$U$2</c:f>
              <c:strCache>
                <c:ptCount val="1"/>
                <c:pt idx="0">
                  <c:v>Burst</c:v>
                </c:pt>
              </c:strCache>
            </c:strRef>
          </c:tx>
          <c:marker>
            <c:symbol val="none"/>
          </c:marker>
          <c:xVal>
            <c:numRef>
              <c:f>ProductionCasingOutput!$U$3:$U$111</c:f>
              <c:numCache>
                <c:formatCode>General</c:formatCode>
                <c:ptCount val="109"/>
                <c:pt idx="0">
                  <c:v>2822.6</c:v>
                </c:pt>
                <c:pt idx="1">
                  <c:v>2826.9699700000001</c:v>
                </c:pt>
                <c:pt idx="2">
                  <c:v>2831.3399399999998</c:v>
                </c:pt>
                <c:pt idx="3">
                  <c:v>2835.70991</c:v>
                </c:pt>
                <c:pt idx="4">
                  <c:v>2840.0798799999998</c:v>
                </c:pt>
                <c:pt idx="5">
                  <c:v>2844.44985</c:v>
                </c:pt>
                <c:pt idx="6">
                  <c:v>2848.8198199999997</c:v>
                </c:pt>
                <c:pt idx="7">
                  <c:v>2853.1897899999999</c:v>
                </c:pt>
                <c:pt idx="8">
                  <c:v>2857.5597600000001</c:v>
                </c:pt>
                <c:pt idx="9">
                  <c:v>2861.9297299999998</c:v>
                </c:pt>
                <c:pt idx="10">
                  <c:v>2866.2997</c:v>
                </c:pt>
                <c:pt idx="11">
                  <c:v>2870.6696699999998</c:v>
                </c:pt>
                <c:pt idx="12">
                  <c:v>2875.03964</c:v>
                </c:pt>
                <c:pt idx="13">
                  <c:v>2879.4096099999997</c:v>
                </c:pt>
                <c:pt idx="14">
                  <c:v>2883.7795799999999</c:v>
                </c:pt>
                <c:pt idx="15">
                  <c:v>2888.1495500000001</c:v>
                </c:pt>
                <c:pt idx="16">
                  <c:v>2892.5195199999998</c:v>
                </c:pt>
                <c:pt idx="17">
                  <c:v>2896.88949</c:v>
                </c:pt>
                <c:pt idx="18">
                  <c:v>2901.2594599999998</c:v>
                </c:pt>
                <c:pt idx="19">
                  <c:v>2905.62943</c:v>
                </c:pt>
                <c:pt idx="20">
                  <c:v>2909.9993999999997</c:v>
                </c:pt>
                <c:pt idx="21">
                  <c:v>2914.3693699999999</c:v>
                </c:pt>
                <c:pt idx="22">
                  <c:v>2918.7393400000001</c:v>
                </c:pt>
                <c:pt idx="23">
                  <c:v>2923.1093099999998</c:v>
                </c:pt>
                <c:pt idx="24">
                  <c:v>2927.47928</c:v>
                </c:pt>
                <c:pt idx="25">
                  <c:v>2931.8492499999998</c:v>
                </c:pt>
                <c:pt idx="26">
                  <c:v>2936.21922</c:v>
                </c:pt>
                <c:pt idx="27">
                  <c:v>2940.5891899999997</c:v>
                </c:pt>
                <c:pt idx="28">
                  <c:v>2944.9591599999999</c:v>
                </c:pt>
                <c:pt idx="29">
                  <c:v>2949.3291300000001</c:v>
                </c:pt>
                <c:pt idx="30">
                  <c:v>2953.6990999999998</c:v>
                </c:pt>
                <c:pt idx="31">
                  <c:v>2958.06907</c:v>
                </c:pt>
                <c:pt idx="32">
                  <c:v>2962.4390399999997</c:v>
                </c:pt>
                <c:pt idx="33">
                  <c:v>2966.8090099999999</c:v>
                </c:pt>
                <c:pt idx="34">
                  <c:v>2971.1789800000001</c:v>
                </c:pt>
                <c:pt idx="35">
                  <c:v>2975.5489499999999</c:v>
                </c:pt>
                <c:pt idx="36">
                  <c:v>2979.9189200000001</c:v>
                </c:pt>
                <c:pt idx="37">
                  <c:v>2984.2888899999998</c:v>
                </c:pt>
                <c:pt idx="38">
                  <c:v>2988.65886</c:v>
                </c:pt>
                <c:pt idx="39">
                  <c:v>2993.0288299999997</c:v>
                </c:pt>
                <c:pt idx="40">
                  <c:v>2997.3987999999999</c:v>
                </c:pt>
                <c:pt idx="41">
                  <c:v>3001.7687700000001</c:v>
                </c:pt>
                <c:pt idx="42">
                  <c:v>3006.1387399999999</c:v>
                </c:pt>
                <c:pt idx="43">
                  <c:v>3010.5087100000001</c:v>
                </c:pt>
                <c:pt idx="44">
                  <c:v>3014.8786799999998</c:v>
                </c:pt>
                <c:pt idx="45">
                  <c:v>3019.24865</c:v>
                </c:pt>
                <c:pt idx="46">
                  <c:v>3023.6186199999997</c:v>
                </c:pt>
                <c:pt idx="47">
                  <c:v>3027.9885899999999</c:v>
                </c:pt>
                <c:pt idx="48">
                  <c:v>3032.3585600000001</c:v>
                </c:pt>
                <c:pt idx="49">
                  <c:v>3036.7285299999999</c:v>
                </c:pt>
                <c:pt idx="50">
                  <c:v>3041.0985000000001</c:v>
                </c:pt>
                <c:pt idx="51">
                  <c:v>3045.4684699999998</c:v>
                </c:pt>
                <c:pt idx="52">
                  <c:v>3049.83844</c:v>
                </c:pt>
                <c:pt idx="53">
                  <c:v>3054.2084099999997</c:v>
                </c:pt>
                <c:pt idx="54">
                  <c:v>3058.5783799999999</c:v>
                </c:pt>
                <c:pt idx="55">
                  <c:v>3062.9483500000001</c:v>
                </c:pt>
                <c:pt idx="56">
                  <c:v>3067.3183199999999</c:v>
                </c:pt>
                <c:pt idx="57">
                  <c:v>3071.6882900000001</c:v>
                </c:pt>
                <c:pt idx="58">
                  <c:v>3076.0582599999998</c:v>
                </c:pt>
                <c:pt idx="59">
                  <c:v>3080.42823</c:v>
                </c:pt>
                <c:pt idx="60">
                  <c:v>3084.7981999999997</c:v>
                </c:pt>
                <c:pt idx="61">
                  <c:v>3089.1681699999999</c:v>
                </c:pt>
                <c:pt idx="62">
                  <c:v>3093.5381400000001</c:v>
                </c:pt>
                <c:pt idx="63">
                  <c:v>3097.9081099999999</c:v>
                </c:pt>
                <c:pt idx="64">
                  <c:v>3102.27808</c:v>
                </c:pt>
                <c:pt idx="65">
                  <c:v>3106.6480499999998</c:v>
                </c:pt>
                <c:pt idx="66">
                  <c:v>3111.01802</c:v>
                </c:pt>
                <c:pt idx="67">
                  <c:v>3115.3879899999997</c:v>
                </c:pt>
                <c:pt idx="68">
                  <c:v>3119.7579599999999</c:v>
                </c:pt>
                <c:pt idx="69">
                  <c:v>3124.1279300000001</c:v>
                </c:pt>
                <c:pt idx="70">
                  <c:v>3128.4978999999998</c:v>
                </c:pt>
                <c:pt idx="71">
                  <c:v>3132.86787</c:v>
                </c:pt>
                <c:pt idx="72">
                  <c:v>3137.2378399999998</c:v>
                </c:pt>
                <c:pt idx="73">
                  <c:v>3141.60781</c:v>
                </c:pt>
                <c:pt idx="74">
                  <c:v>3145.9777799999997</c:v>
                </c:pt>
                <c:pt idx="75">
                  <c:v>3150.3477499999999</c:v>
                </c:pt>
                <c:pt idx="76">
                  <c:v>3154.7177200000001</c:v>
                </c:pt>
                <c:pt idx="77">
                  <c:v>3159.0876899999998</c:v>
                </c:pt>
                <c:pt idx="78">
                  <c:v>3163.45766</c:v>
                </c:pt>
                <c:pt idx="79">
                  <c:v>3167.8276299999998</c:v>
                </c:pt>
                <c:pt idx="80">
                  <c:v>3172.1976</c:v>
                </c:pt>
                <c:pt idx="81">
                  <c:v>3176.5675699999997</c:v>
                </c:pt>
                <c:pt idx="82">
                  <c:v>3180.9375399999999</c:v>
                </c:pt>
                <c:pt idx="83">
                  <c:v>3185.3075100000001</c:v>
                </c:pt>
                <c:pt idx="84">
                  <c:v>3189.6774799999998</c:v>
                </c:pt>
                <c:pt idx="85">
                  <c:v>3194.04745</c:v>
                </c:pt>
                <c:pt idx="86">
                  <c:v>3198.4174199999998</c:v>
                </c:pt>
                <c:pt idx="87">
                  <c:v>3202.78739</c:v>
                </c:pt>
                <c:pt idx="88">
                  <c:v>3207.1573599999997</c:v>
                </c:pt>
                <c:pt idx="89">
                  <c:v>3211.5273299999999</c:v>
                </c:pt>
                <c:pt idx="90">
                  <c:v>3215.8973000000001</c:v>
                </c:pt>
                <c:pt idx="91">
                  <c:v>3220.2672699999998</c:v>
                </c:pt>
                <c:pt idx="92">
                  <c:v>3224.63724</c:v>
                </c:pt>
                <c:pt idx="93">
                  <c:v>3229.0072099999998</c:v>
                </c:pt>
                <c:pt idx="94">
                  <c:v>3233.37718</c:v>
                </c:pt>
                <c:pt idx="95">
                  <c:v>3237.7471499999997</c:v>
                </c:pt>
                <c:pt idx="96">
                  <c:v>3242.1171199999999</c:v>
                </c:pt>
                <c:pt idx="97">
                  <c:v>3246.4870900000001</c:v>
                </c:pt>
                <c:pt idx="98">
                  <c:v>3250.8570599999998</c:v>
                </c:pt>
                <c:pt idx="99">
                  <c:v>3255.22703</c:v>
                </c:pt>
                <c:pt idx="100">
                  <c:v>3259.5969999999998</c:v>
                </c:pt>
                <c:pt idx="101">
                  <c:v>3263.9669699999999</c:v>
                </c:pt>
                <c:pt idx="102">
                  <c:v>-1059.52</c:v>
                </c:pt>
                <c:pt idx="103">
                  <c:v>-1097.58</c:v>
                </c:pt>
                <c:pt idx="104">
                  <c:v>-1135.6400000000001</c:v>
                </c:pt>
                <c:pt idx="105">
                  <c:v>-1173.7</c:v>
                </c:pt>
                <c:pt idx="106">
                  <c:v>-1211.76</c:v>
                </c:pt>
                <c:pt idx="107">
                  <c:v>-1249.82</c:v>
                </c:pt>
                <c:pt idx="108">
                  <c:v>-1287.8800000000001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590144"/>
        <c:axId val="337592320"/>
      </c:scatterChart>
      <c:valAx>
        <c:axId val="33759014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592320"/>
        <c:crosses val="autoZero"/>
        <c:crossBetween val="midCat"/>
      </c:valAx>
      <c:valAx>
        <c:axId val="337592320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590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834580052493442"/>
          <c:y val="0.30704469233012543"/>
          <c:w val="0.24376718889520252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Production Casing-</a:t>
            </a:r>
            <a:r>
              <a:rPr lang="en-US" sz="1600" baseline="0"/>
              <a:t> Cement Job Collapse</a:t>
            </a:r>
            <a:endParaRPr lang="en-US" sz="1600"/>
          </a:p>
        </c:rich>
      </c:tx>
      <c:layout>
        <c:manualLayout>
          <c:xMode val="edge"/>
          <c:yMode val="edge"/>
          <c:x val="7.9529297261154264E-2"/>
          <c:y val="0.8333333333333333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47462817147855"/>
          <c:y val="0.21403579760863226"/>
          <c:w val="0.47369072615923008"/>
          <c:h val="0.59104512977544477"/>
        </c:manualLayout>
      </c:layout>
      <c:scatterChart>
        <c:scatterStyle val="smoothMarker"/>
        <c:varyColors val="0"/>
        <c:ser>
          <c:idx val="3"/>
          <c:order val="0"/>
          <c:tx>
            <c:strRef>
              <c:f>ProductionCasingOutput!$AA$2</c:f>
              <c:strCache>
                <c:ptCount val="1"/>
                <c:pt idx="0">
                  <c:v>Biaxial Collapse</c:v>
                </c:pt>
              </c:strCache>
            </c:strRef>
          </c:tx>
          <c:marker>
            <c:symbol val="none"/>
          </c:marker>
          <c:xVal>
            <c:numRef>
              <c:f>ProductionCasingOutput!$AA$3:$AA$111</c:f>
              <c:numCache>
                <c:formatCode>General</c:formatCode>
                <c:ptCount val="109"/>
                <c:pt idx="0">
                  <c:v>7067.7834831295222</c:v>
                </c:pt>
                <c:pt idx="1">
                  <c:v>7077.0549511631625</c:v>
                </c:pt>
                <c:pt idx="2">
                  <c:v>7086.26297120043</c:v>
                </c:pt>
                <c:pt idx="3">
                  <c:v>7095.4079212405923</c:v>
                </c:pt>
                <c:pt idx="4">
                  <c:v>7104.4901762459021</c:v>
                </c:pt>
                <c:pt idx="5">
                  <c:v>7113.5101081766406</c:v>
                </c:pt>
                <c:pt idx="6">
                  <c:v>7122.4680860255576</c:v>
                </c:pt>
                <c:pt idx="7">
                  <c:v>7131.3644758517366</c:v>
                </c:pt>
                <c:pt idx="8">
                  <c:v>7140.1996408139266</c:v>
                </c:pt>
                <c:pt idx="9">
                  <c:v>7148.9739412032759</c:v>
                </c:pt>
                <c:pt idx="10">
                  <c:v>7157.687734475553</c:v>
                </c:pt>
                <c:pt idx="11">
                  <c:v>7166.3413752828092</c:v>
                </c:pt>
                <c:pt idx="12">
                  <c:v>7174.9352155045181</c:v>
                </c:pt>
                <c:pt idx="13">
                  <c:v>7749.0472790545227</c:v>
                </c:pt>
                <c:pt idx="14">
                  <c:v>7768.351953750438</c:v>
                </c:pt>
                <c:pt idx="15">
                  <c:v>7787.5288377434226</c:v>
                </c:pt>
                <c:pt idx="16">
                  <c:v>7806.5785840612243</c:v>
                </c:pt>
                <c:pt idx="17">
                  <c:v>7825.5018360752392</c:v>
                </c:pt>
                <c:pt idx="18">
                  <c:v>7844.299227626293</c:v>
                </c:pt>
                <c:pt idx="19">
                  <c:v>7862.97138314738</c:v>
                </c:pt>
                <c:pt idx="20">
                  <c:v>7881.5189177834118</c:v>
                </c:pt>
                <c:pt idx="21">
                  <c:v>7899.9424375080953</c:v>
                </c:pt>
                <c:pt idx="22">
                  <c:v>7918.2425392379437</c:v>
                </c:pt>
                <c:pt idx="23">
                  <c:v>7936.4198109435156</c:v>
                </c:pt>
                <c:pt idx="24">
                  <c:v>7954.4748317579242</c:v>
                </c:pt>
                <c:pt idx="25">
                  <c:v>7972.4081720826716</c:v>
                </c:pt>
                <c:pt idx="26">
                  <c:v>7990.2203936908936</c:v>
                </c:pt>
                <c:pt idx="27">
                  <c:v>8007.9120498279972</c:v>
                </c:pt>
                <c:pt idx="28">
                  <c:v>8025.4836853098313</c:v>
                </c:pt>
                <c:pt idx="29">
                  <c:v>8042.9358366183651</c:v>
                </c:pt>
                <c:pt idx="30">
                  <c:v>8060.2690319949734</c:v>
                </c:pt>
                <c:pt idx="31">
                  <c:v>8077.4837915313265</c:v>
                </c:pt>
                <c:pt idx="32">
                  <c:v>8094.5806272579675</c:v>
                </c:pt>
                <c:pt idx="33">
                  <c:v>6031.7216284156475</c:v>
                </c:pt>
                <c:pt idx="34">
                  <c:v>6042.7627712731</c:v>
                </c:pt>
                <c:pt idx="35">
                  <c:v>6053.7187134000751</c:v>
                </c:pt>
                <c:pt idx="36">
                  <c:v>6064.5899583975224</c:v>
                </c:pt>
                <c:pt idx="37">
                  <c:v>6075.3770035000289</c:v>
                </c:pt>
                <c:pt idx="38">
                  <c:v>6086.0803396493984</c:v>
                </c:pt>
                <c:pt idx="39">
                  <c:v>6096.7004515665158</c:v>
                </c:pt>
                <c:pt idx="40">
                  <c:v>6107.2378178214867</c:v>
                </c:pt>
                <c:pt idx="41">
                  <c:v>6117.6929109021021</c:v>
                </c:pt>
                <c:pt idx="42">
                  <c:v>6128.0661972806474</c:v>
                </c:pt>
                <c:pt idx="43">
                  <c:v>6138.3581374790983</c:v>
                </c:pt>
                <c:pt idx="44">
                  <c:v>6148.569186132725</c:v>
                </c:pt>
                <c:pt idx="45">
                  <c:v>6158.6997920521326</c:v>
                </c:pt>
                <c:pt idx="46">
                  <c:v>6168.7503982837552</c:v>
                </c:pt>
                <c:pt idx="47">
                  <c:v>6178.7214421688632</c:v>
                </c:pt>
                <c:pt idx="48">
                  <c:v>7067.9372560061147</c:v>
                </c:pt>
                <c:pt idx="49">
                  <c:v>7085.0710359905879</c:v>
                </c:pt>
                <c:pt idx="50">
                  <c:v>7102.0597120661832</c:v>
                </c:pt>
                <c:pt idx="51">
                  <c:v>7118.9038459982658</c:v>
                </c:pt>
                <c:pt idx="52">
                  <c:v>7135.6039864097647</c:v>
                </c:pt>
                <c:pt idx="53">
                  <c:v>7152.160668898111</c:v>
                </c:pt>
                <c:pt idx="54">
                  <c:v>7168.5744161473931</c:v>
                </c:pt>
                <c:pt idx="55">
                  <c:v>7184.8457380358095</c:v>
                </c:pt>
                <c:pt idx="56">
                  <c:v>7200.9751317384953</c:v>
                </c:pt>
                <c:pt idx="57">
                  <c:v>7216.9630818257792</c:v>
                </c:pt>
                <c:pt idx="58">
                  <c:v>7232.8100603569437</c:v>
                </c:pt>
                <c:pt idx="59">
                  <c:v>7248.5165269694935</c:v>
                </c:pt>
                <c:pt idx="60">
                  <c:v>7264.0829289640824</c:v>
                </c:pt>
                <c:pt idx="61">
                  <c:v>7279.5097013850263</c:v>
                </c:pt>
                <c:pt idx="62">
                  <c:v>7294.7972670965728</c:v>
                </c:pt>
                <c:pt idx="63">
                  <c:v>7309.9460368548444</c:v>
                </c:pt>
                <c:pt idx="64">
                  <c:v>7324.9564093756171</c:v>
                </c:pt>
                <c:pt idx="65">
                  <c:v>7339.8287713978698</c:v>
                </c:pt>
                <c:pt idx="66">
                  <c:v>7354.5634977431901</c:v>
                </c:pt>
                <c:pt idx="67">
                  <c:v>7369.1609513710646</c:v>
                </c:pt>
                <c:pt idx="68">
                  <c:v>7383.6214834300499</c:v>
                </c:pt>
                <c:pt idx="69">
                  <c:v>7397.9454333048807</c:v>
                </c:pt>
                <c:pt idx="70">
                  <c:v>7412.1331286595205</c:v>
                </c:pt>
                <c:pt idx="71">
                  <c:v>7426.1848854761593</c:v>
                </c:pt>
                <c:pt idx="72">
                  <c:v>7440.101008090196</c:v>
                </c:pt>
                <c:pt idx="73">
                  <c:v>7453.8817892212037</c:v>
                </c:pt>
                <c:pt idx="74">
                  <c:v>7467.527509999878</c:v>
                </c:pt>
                <c:pt idx="75">
                  <c:v>7481.0384399910008</c:v>
                </c:pt>
                <c:pt idx="76">
                  <c:v>7494.4148372123655</c:v>
                </c:pt>
                <c:pt idx="77">
                  <c:v>7507.6569481497418</c:v>
                </c:pt>
                <c:pt idx="78">
                  <c:v>7520.7650077677936</c:v>
                </c:pt>
                <c:pt idx="79">
                  <c:v>7533.7392395170064</c:v>
                </c:pt>
                <c:pt idx="80">
                  <c:v>7546.5798553365594</c:v>
                </c:pt>
                <c:pt idx="81">
                  <c:v>7559.2870556531852</c:v>
                </c:pt>
                <c:pt idx="82">
                  <c:v>7571.8610293759448</c:v>
                </c:pt>
                <c:pt idx="83">
                  <c:v>7584.3019538869285</c:v>
                </c:pt>
                <c:pt idx="84">
                  <c:v>7596.6099950278531</c:v>
                </c:pt>
                <c:pt idx="85">
                  <c:v>7608.7853070825286</c:v>
                </c:pt>
                <c:pt idx="86">
                  <c:v>7620.8280327551438</c:v>
                </c:pt>
                <c:pt idx="87">
                  <c:v>7632.7383031443833</c:v>
                </c:pt>
                <c:pt idx="88">
                  <c:v>7644.5162377132792</c:v>
                </c:pt>
                <c:pt idx="89">
                  <c:v>7656.1619442548017</c:v>
                </c:pt>
                <c:pt idx="90">
                  <c:v>7667.6755188531115</c:v>
                </c:pt>
                <c:pt idx="91">
                  <c:v>7679.0570458404654</c:v>
                </c:pt>
                <c:pt idx="92">
                  <c:v>7690.3065977496717</c:v>
                </c:pt>
                <c:pt idx="93">
                  <c:v>7701.4242352620704</c:v>
                </c:pt>
                <c:pt idx="94">
                  <c:v>7712.4100071509838</c:v>
                </c:pt>
                <c:pt idx="95">
                  <c:v>7723.2639502205529</c:v>
                </c:pt>
                <c:pt idx="96">
                  <c:v>7733.9860892398783</c:v>
                </c:pt>
                <c:pt idx="97">
                  <c:v>7744.5764368724513</c:v>
                </c:pt>
                <c:pt idx="98">
                  <c:v>7755.0349936007178</c:v>
                </c:pt>
                <c:pt idx="99">
                  <c:v>7765.3617476457675</c:v>
                </c:pt>
                <c:pt idx="100">
                  <c:v>7775.5566748819901</c:v>
                </c:pt>
                <c:pt idx="101">
                  <c:v>7785.6197387466718</c:v>
                </c:pt>
                <c:pt idx="102">
                  <c:v>7795.5508901443945</c:v>
                </c:pt>
                <c:pt idx="103">
                  <c:v>7805.3500673461358</c:v>
                </c:pt>
                <c:pt idx="104">
                  <c:v>7815.0171958829915</c:v>
                </c:pt>
                <c:pt idx="105">
                  <c:v>7824.5521884343698</c:v>
                </c:pt>
                <c:pt idx="106">
                  <c:v>7833.9549447105619</c:v>
                </c:pt>
                <c:pt idx="107">
                  <c:v>7843.2253513295636</c:v>
                </c:pt>
                <c:pt idx="108">
                  <c:v>7852.3632816879908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ProductionCasingOutput!$AB$2</c:f>
              <c:strCache>
                <c:ptCount val="1"/>
                <c:pt idx="0">
                  <c:v>Collapse</c:v>
                </c:pt>
              </c:strCache>
            </c:strRef>
          </c:tx>
          <c:marker>
            <c:symbol val="none"/>
          </c:marker>
          <c:xVal>
            <c:numRef>
              <c:f>ProductionCasingOutput!$AB$3:$AB$111</c:f>
              <c:numCache>
                <c:formatCode>General</c:formatCode>
                <c:ptCount val="109"/>
                <c:pt idx="0">
                  <c:v>0</c:v>
                </c:pt>
                <c:pt idx="1">
                  <c:v>-1.1428571428571375</c:v>
                </c:pt>
                <c:pt idx="2">
                  <c:v>-2.2857142857142749</c:v>
                </c:pt>
                <c:pt idx="3">
                  <c:v>-3.4285714285714279</c:v>
                </c:pt>
                <c:pt idx="4">
                  <c:v>-4.5714285714285499</c:v>
                </c:pt>
                <c:pt idx="5">
                  <c:v>-5.7142857142856718</c:v>
                </c:pt>
                <c:pt idx="6">
                  <c:v>-6.8571428571428559</c:v>
                </c:pt>
                <c:pt idx="7">
                  <c:v>-7.9999999999999778</c:v>
                </c:pt>
                <c:pt idx="8">
                  <c:v>-9.1428571428570997</c:v>
                </c:pt>
                <c:pt idx="9">
                  <c:v>-10.285714285714285</c:v>
                </c:pt>
                <c:pt idx="10">
                  <c:v>-11.428571428571344</c:v>
                </c:pt>
                <c:pt idx="11">
                  <c:v>-12.571428571428529</c:v>
                </c:pt>
                <c:pt idx="12">
                  <c:v>-13.714285714285712</c:v>
                </c:pt>
                <c:pt idx="13">
                  <c:v>-14.857142857142835</c:v>
                </c:pt>
                <c:pt idx="14">
                  <c:v>-15.999999999999956</c:v>
                </c:pt>
                <c:pt idx="15">
                  <c:v>-17.142857142857078</c:v>
                </c:pt>
                <c:pt idx="16">
                  <c:v>-18.285714285714199</c:v>
                </c:pt>
                <c:pt idx="17">
                  <c:v>-19.428571428571445</c:v>
                </c:pt>
                <c:pt idx="18">
                  <c:v>-20.571428571428569</c:v>
                </c:pt>
                <c:pt idx="19">
                  <c:v>-21.714285714285566</c:v>
                </c:pt>
                <c:pt idx="20">
                  <c:v>-22.857142857142687</c:v>
                </c:pt>
                <c:pt idx="21">
                  <c:v>-23.999999999999932</c:v>
                </c:pt>
                <c:pt idx="22">
                  <c:v>-25.142857142857057</c:v>
                </c:pt>
                <c:pt idx="23">
                  <c:v>-26.285714285714178</c:v>
                </c:pt>
                <c:pt idx="24">
                  <c:v>-27.428571428571423</c:v>
                </c:pt>
                <c:pt idx="25">
                  <c:v>-28.571428571428672</c:v>
                </c:pt>
                <c:pt idx="26">
                  <c:v>-29.714285714285669</c:v>
                </c:pt>
                <c:pt idx="27">
                  <c:v>-30.857142857142666</c:v>
                </c:pt>
                <c:pt idx="28">
                  <c:v>-31.999999999999911</c:v>
                </c:pt>
                <c:pt idx="29">
                  <c:v>-33.142857142856911</c:v>
                </c:pt>
                <c:pt idx="30">
                  <c:v>-34.285714285714157</c:v>
                </c:pt>
                <c:pt idx="31">
                  <c:v>-35.428571428571402</c:v>
                </c:pt>
                <c:pt idx="32">
                  <c:v>-36.571428571428399</c:v>
                </c:pt>
                <c:pt idx="33">
                  <c:v>-37.714285714285644</c:v>
                </c:pt>
                <c:pt idx="34">
                  <c:v>-38.85714285714289</c:v>
                </c:pt>
                <c:pt idx="35">
                  <c:v>-39.999999999999886</c:v>
                </c:pt>
                <c:pt idx="36">
                  <c:v>-41.142857142857139</c:v>
                </c:pt>
                <c:pt idx="37">
                  <c:v>-42.285714285714384</c:v>
                </c:pt>
                <c:pt idx="38">
                  <c:v>-43.428571428571132</c:v>
                </c:pt>
                <c:pt idx="39">
                  <c:v>-44.571428571428378</c:v>
                </c:pt>
                <c:pt idx="40">
                  <c:v>-45.714285714285374</c:v>
                </c:pt>
                <c:pt idx="41">
                  <c:v>-2.857142857142617</c:v>
                </c:pt>
                <c:pt idx="42">
                  <c:v>40.000000000000391</c:v>
                </c:pt>
                <c:pt idx="43">
                  <c:v>82.857142857143145</c:v>
                </c:pt>
                <c:pt idx="44">
                  <c:v>125.71428571428615</c:v>
                </c:pt>
                <c:pt idx="45">
                  <c:v>168.5714285714289</c:v>
                </c:pt>
                <c:pt idx="46">
                  <c:v>211.42857142857167</c:v>
                </c:pt>
                <c:pt idx="47">
                  <c:v>254.28571428571442</c:v>
                </c:pt>
                <c:pt idx="48">
                  <c:v>297.14285714285717</c:v>
                </c:pt>
                <c:pt idx="49">
                  <c:v>339.99999999999994</c:v>
                </c:pt>
                <c:pt idx="50">
                  <c:v>382.85714285714317</c:v>
                </c:pt>
                <c:pt idx="51">
                  <c:v>425.71428571428595</c:v>
                </c:pt>
                <c:pt idx="52">
                  <c:v>468.57142857142873</c:v>
                </c:pt>
                <c:pt idx="53">
                  <c:v>511.42857142857144</c:v>
                </c:pt>
                <c:pt idx="54">
                  <c:v>554.28571428571468</c:v>
                </c:pt>
                <c:pt idx="55">
                  <c:v>597.14285714285745</c:v>
                </c:pt>
                <c:pt idx="56">
                  <c:v>640.00000000000068</c:v>
                </c:pt>
                <c:pt idx="57">
                  <c:v>682.85714285714346</c:v>
                </c:pt>
                <c:pt idx="58">
                  <c:v>725.71428571428623</c:v>
                </c:pt>
                <c:pt idx="59">
                  <c:v>768.57142857142901</c:v>
                </c:pt>
                <c:pt idx="60">
                  <c:v>811.42857142857179</c:v>
                </c:pt>
                <c:pt idx="61">
                  <c:v>854.28571428571456</c:v>
                </c:pt>
                <c:pt idx="62">
                  <c:v>897.14285714285779</c:v>
                </c:pt>
                <c:pt idx="63">
                  <c:v>940.00000000000057</c:v>
                </c:pt>
                <c:pt idx="64">
                  <c:v>982.85714285714323</c:v>
                </c:pt>
                <c:pt idx="65">
                  <c:v>1025.714285714286</c:v>
                </c:pt>
                <c:pt idx="66">
                  <c:v>1068.5714285714289</c:v>
                </c:pt>
                <c:pt idx="67">
                  <c:v>1111.4285714285716</c:v>
                </c:pt>
                <c:pt idx="68">
                  <c:v>1154.2857142857149</c:v>
                </c:pt>
                <c:pt idx="69">
                  <c:v>1197.1428571428571</c:v>
                </c:pt>
                <c:pt idx="70">
                  <c:v>1240.0000000000002</c:v>
                </c:pt>
                <c:pt idx="71">
                  <c:v>1282.8571428571427</c:v>
                </c:pt>
                <c:pt idx="72">
                  <c:v>1325.7142857142858</c:v>
                </c:pt>
                <c:pt idx="73">
                  <c:v>1368.5714285714291</c:v>
                </c:pt>
                <c:pt idx="74">
                  <c:v>1411.4285714285713</c:v>
                </c:pt>
                <c:pt idx="75">
                  <c:v>1454.2857142857151</c:v>
                </c:pt>
                <c:pt idx="76">
                  <c:v>1497.1428571428573</c:v>
                </c:pt>
                <c:pt idx="77">
                  <c:v>1540.0000000000007</c:v>
                </c:pt>
                <c:pt idx="78">
                  <c:v>1582.8571428571438</c:v>
                </c:pt>
                <c:pt idx="79">
                  <c:v>1625.7142857142862</c:v>
                </c:pt>
                <c:pt idx="80">
                  <c:v>1668.5714285714294</c:v>
                </c:pt>
                <c:pt idx="81">
                  <c:v>1711.4285714285716</c:v>
                </c:pt>
                <c:pt idx="82">
                  <c:v>1754.2857142857149</c:v>
                </c:pt>
                <c:pt idx="83">
                  <c:v>1797.1428571428571</c:v>
                </c:pt>
                <c:pt idx="84">
                  <c:v>1840.0000000000005</c:v>
                </c:pt>
                <c:pt idx="85">
                  <c:v>1882.8571428571436</c:v>
                </c:pt>
                <c:pt idx="86">
                  <c:v>1925.714285714286</c:v>
                </c:pt>
                <c:pt idx="87">
                  <c:v>1968.5714285714291</c:v>
                </c:pt>
                <c:pt idx="88">
                  <c:v>2011.4285714285716</c:v>
                </c:pt>
                <c:pt idx="89">
                  <c:v>2057.7142857142853</c:v>
                </c:pt>
                <c:pt idx="90">
                  <c:v>2104.0000000000005</c:v>
                </c:pt>
                <c:pt idx="91">
                  <c:v>2150.2857142857151</c:v>
                </c:pt>
                <c:pt idx="92">
                  <c:v>2196.5714285714284</c:v>
                </c:pt>
                <c:pt idx="93">
                  <c:v>2242.8571428571431</c:v>
                </c:pt>
                <c:pt idx="94">
                  <c:v>2289.1428571428573</c:v>
                </c:pt>
                <c:pt idx="95">
                  <c:v>2335.428571428572</c:v>
                </c:pt>
                <c:pt idx="96">
                  <c:v>2381.7142857142853</c:v>
                </c:pt>
                <c:pt idx="97">
                  <c:v>2428</c:v>
                </c:pt>
                <c:pt idx="98">
                  <c:v>2474.2857142857142</c:v>
                </c:pt>
                <c:pt idx="99">
                  <c:v>2520.5714285714289</c:v>
                </c:pt>
                <c:pt idx="100">
                  <c:v>2566.8571428571422</c:v>
                </c:pt>
                <c:pt idx="101">
                  <c:v>2613.1428571428578</c:v>
                </c:pt>
                <c:pt idx="102">
                  <c:v>2659.4285714285716</c:v>
                </c:pt>
                <c:pt idx="103">
                  <c:v>2705.7142857142858</c:v>
                </c:pt>
                <c:pt idx="104">
                  <c:v>2751.9999999999995</c:v>
                </c:pt>
                <c:pt idx="105">
                  <c:v>2798.2857142857147</c:v>
                </c:pt>
                <c:pt idx="106">
                  <c:v>2844.5714285714284</c:v>
                </c:pt>
                <c:pt idx="107">
                  <c:v>2890.8571428571431</c:v>
                </c:pt>
                <c:pt idx="108">
                  <c:v>2937.1428571428582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622144"/>
        <c:axId val="337624064"/>
      </c:scatterChart>
      <c:valAx>
        <c:axId val="33762214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624064"/>
        <c:crosses val="autoZero"/>
        <c:crossBetween val="midCat"/>
      </c:valAx>
      <c:valAx>
        <c:axId val="33762406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622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834580052493442"/>
          <c:y val="0.30704469233012543"/>
          <c:w val="0.24376718889520252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Production Casing-</a:t>
            </a:r>
            <a:r>
              <a:rPr lang="en-US" sz="1600" baseline="0"/>
              <a:t> Evacuated Collapse</a:t>
            </a:r>
            <a:endParaRPr lang="en-US" sz="1600"/>
          </a:p>
        </c:rich>
      </c:tx>
      <c:layout>
        <c:manualLayout>
          <c:xMode val="edge"/>
          <c:yMode val="edge"/>
          <c:x val="7.9529297261154264E-2"/>
          <c:y val="0.8333333333333333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147462817147855"/>
          <c:y val="0.21403579760863226"/>
          <c:w val="0.47369072615923008"/>
          <c:h val="0.59104512977544477"/>
        </c:manualLayout>
      </c:layout>
      <c:scatterChart>
        <c:scatterStyle val="smoothMarker"/>
        <c:varyColors val="0"/>
        <c:ser>
          <c:idx val="3"/>
          <c:order val="0"/>
          <c:tx>
            <c:strRef>
              <c:f>ProductionCasingOutput!$AH$2</c:f>
              <c:strCache>
                <c:ptCount val="1"/>
                <c:pt idx="0">
                  <c:v>Biaxial Collapse</c:v>
                </c:pt>
              </c:strCache>
            </c:strRef>
          </c:tx>
          <c:marker>
            <c:symbol val="none"/>
          </c:marker>
          <c:xVal>
            <c:numRef>
              <c:f>ProductionCasingOutput!$AH$3:$AH$111</c:f>
              <c:numCache>
                <c:formatCode>General</c:formatCode>
                <c:ptCount val="109"/>
                <c:pt idx="0">
                  <c:v>7287.0045165275405</c:v>
                </c:pt>
                <c:pt idx="1">
                  <c:v>7294.7569582925353</c:v>
                </c:pt>
                <c:pt idx="2">
                  <c:v>7302.4547898220417</c:v>
                </c:pt>
                <c:pt idx="3">
                  <c:v>7310.098320793285</c:v>
                </c:pt>
                <c:pt idx="4">
                  <c:v>7317.6878585836848</c:v>
                </c:pt>
                <c:pt idx="5">
                  <c:v>7325.2237082935162</c:v>
                </c:pt>
                <c:pt idx="6">
                  <c:v>7332.7061727681457</c:v>
                </c:pt>
                <c:pt idx="7">
                  <c:v>7340.1355526199204</c:v>
                </c:pt>
                <c:pt idx="8">
                  <c:v>7347.5121462496563</c:v>
                </c:pt>
                <c:pt idx="9">
                  <c:v>7354.8362498677525</c:v>
                </c:pt>
                <c:pt idx="10">
                  <c:v>7362.1081575149456</c:v>
                </c:pt>
                <c:pt idx="11">
                  <c:v>7369.3281610827044</c:v>
                </c:pt>
                <c:pt idx="12">
                  <c:v>7376.4965503332542</c:v>
                </c:pt>
                <c:pt idx="13">
                  <c:v>8143.5402830927851</c:v>
                </c:pt>
                <c:pt idx="14">
                  <c:v>8160.1816749824111</c:v>
                </c:pt>
                <c:pt idx="15">
                  <c:v>8176.7075394415115</c:v>
                </c:pt>
                <c:pt idx="16">
                  <c:v>8193.1183426048756</c:v>
                </c:pt>
                <c:pt idx="17">
                  <c:v>8209.4145430975132</c:v>
                </c:pt>
                <c:pt idx="18">
                  <c:v>8225.5965921062616</c:v>
                </c:pt>
                <c:pt idx="19">
                  <c:v>8241.6649334494177</c:v>
                </c:pt>
                <c:pt idx="20">
                  <c:v>8257.6200036443915</c:v>
                </c:pt>
                <c:pt idx="21">
                  <c:v>8273.4622319734735</c:v>
                </c:pt>
                <c:pt idx="22">
                  <c:v>8289.1920405476649</c:v>
                </c:pt>
                <c:pt idx="23">
                  <c:v>8304.8098443686577</c:v>
                </c:pt>
                <c:pt idx="24">
                  <c:v>8320.3160513889779</c:v>
                </c:pt>
                <c:pt idx="25">
                  <c:v>8335.7110625703026</c:v>
                </c:pt>
                <c:pt idx="26">
                  <c:v>8350.9952719400062</c:v>
                </c:pt>
                <c:pt idx="27">
                  <c:v>8366.1690666459144</c:v>
                </c:pt>
                <c:pt idx="28">
                  <c:v>8381.2328270093512</c:v>
                </c:pt>
                <c:pt idx="29">
                  <c:v>8396.1869265764271</c:v>
                </c:pt>
                <c:pt idx="30">
                  <c:v>8411.0317321676739</c:v>
                </c:pt>
                <c:pt idx="31">
                  <c:v>8425.7676039259713</c:v>
                </c:pt>
                <c:pt idx="32">
                  <c:v>8440.3948953628205</c:v>
                </c:pt>
                <c:pt idx="33">
                  <c:v>6293.3136863886875</c:v>
                </c:pt>
                <c:pt idx="34">
                  <c:v>6302.2795357592649</c:v>
                </c:pt>
                <c:pt idx="35">
                  <c:v>6311.1714158966388</c:v>
                </c:pt>
                <c:pt idx="36">
                  <c:v>6319.989684138709</c:v>
                </c:pt>
                <c:pt idx="37">
                  <c:v>6328.7346928788693</c:v>
                </c:pt>
                <c:pt idx="38">
                  <c:v>6337.4067896024062</c:v>
                </c:pt>
                <c:pt idx="39">
                  <c:v>6346.0063169217383</c:v>
                </c:pt>
                <c:pt idx="40">
                  <c:v>6354.5336126104921</c:v>
                </c:pt>
                <c:pt idx="41">
                  <c:v>6362.9890096364243</c:v>
                </c:pt>
                <c:pt idx="42">
                  <c:v>6371.3728361932317</c:v>
                </c:pt>
                <c:pt idx="43">
                  <c:v>6379.6854157312209</c:v>
                </c:pt>
                <c:pt idx="44">
                  <c:v>6387.9270669868538</c:v>
                </c:pt>
                <c:pt idx="45">
                  <c:v>6396.0981040112283</c:v>
                </c:pt>
                <c:pt idx="46">
                  <c:v>6404.1988361974236</c:v>
                </c:pt>
                <c:pt idx="47">
                  <c:v>6412.2295683067832</c:v>
                </c:pt>
                <c:pt idx="48">
                  <c:v>7407.2192970112619</c:v>
                </c:pt>
                <c:pt idx="49">
                  <c:v>7421.3182481176491</c:v>
                </c:pt>
                <c:pt idx="50">
                  <c:v>7435.2814606038946</c:v>
                </c:pt>
                <c:pt idx="51">
                  <c:v>7449.1092312220171</c:v>
                </c:pt>
                <c:pt idx="52">
                  <c:v>7462.8018451262596</c:v>
                </c:pt>
                <c:pt idx="53">
                  <c:v>7476.3595758974097</c:v>
                </c:pt>
                <c:pt idx="54">
                  <c:v>7489.7826855631592</c:v>
                </c:pt>
                <c:pt idx="55">
                  <c:v>7503.0714246144289</c:v>
                </c:pt>
                <c:pt idx="56">
                  <c:v>7516.226032017692</c:v>
                </c:pt>
                <c:pt idx="57">
                  <c:v>7529.2467352232907</c:v>
                </c:pt>
                <c:pt idx="58">
                  <c:v>7542.133750169728</c:v>
                </c:pt>
                <c:pt idx="59">
                  <c:v>7554.8872812839109</c:v>
                </c:pt>
                <c:pt idx="60">
                  <c:v>7567.5075214773506</c:v>
                </c:pt>
                <c:pt idx="61">
                  <c:v>7579.994652138289</c:v>
                </c:pt>
                <c:pt idx="62">
                  <c:v>7592.3488431197075</c:v>
                </c:pt>
                <c:pt idx="63">
                  <c:v>7604.5702527232515</c:v>
                </c:pt>
                <c:pt idx="64">
                  <c:v>7616.6590276789602</c:v>
                </c:pt>
                <c:pt idx="65">
                  <c:v>7628.6153031208451</c:v>
                </c:pt>
                <c:pt idx="66">
                  <c:v>7640.4392025582129</c:v>
                </c:pt>
                <c:pt idx="67">
                  <c:v>7652.130837842753</c:v>
                </c:pt>
                <c:pt idx="68">
                  <c:v>7663.690309131307</c:v>
                </c:pt>
                <c:pt idx="69">
                  <c:v>7675.1177048442823</c:v>
                </c:pt>
                <c:pt idx="70">
                  <c:v>7686.4131016196525</c:v>
                </c:pt>
                <c:pt idx="71">
                  <c:v>7697.5765642625192</c:v>
                </c:pt>
                <c:pt idx="72">
                  <c:v>7708.6081456901302</c:v>
                </c:pt>
                <c:pt idx="73">
                  <c:v>7719.5078868723167</c:v>
                </c:pt>
                <c:pt idx="74">
                  <c:v>7730.2758167673028</c:v>
                </c:pt>
                <c:pt idx="75">
                  <c:v>7740.9119522527517</c:v>
                </c:pt>
                <c:pt idx="76">
                  <c:v>7751.4162980520532</c:v>
                </c:pt>
                <c:pt idx="77">
                  <c:v>7761.7888466556942</c:v>
                </c:pt>
                <c:pt idx="78">
                  <c:v>7772.0295782376888</c:v>
                </c:pt>
                <c:pt idx="79">
                  <c:v>7782.1384605669464</c:v>
                </c:pt>
                <c:pt idx="80">
                  <c:v>7792.1154489134715</c:v>
                </c:pt>
                <c:pt idx="81">
                  <c:v>7801.960485949332</c:v>
                </c:pt>
                <c:pt idx="82">
                  <c:v>7811.6735016442544</c:v>
                </c:pt>
                <c:pt idx="83">
                  <c:v>7821.2544131557579</c:v>
                </c:pt>
                <c:pt idx="84">
                  <c:v>7830.7031247136847</c:v>
                </c:pt>
                <c:pt idx="85">
                  <c:v>7840.0195274990401</c:v>
                </c:pt>
                <c:pt idx="86">
                  <c:v>7849.203499516977</c:v>
                </c:pt>
                <c:pt idx="87">
                  <c:v>7858.2549054637984</c:v>
                </c:pt>
                <c:pt idx="88">
                  <c:v>7867.173596587867</c:v>
                </c:pt>
                <c:pt idx="89">
                  <c:v>7875.9594105442038</c:v>
                </c:pt>
                <c:pt idx="90">
                  <c:v>7884.612171242703</c:v>
                </c:pt>
                <c:pt idx="91">
                  <c:v>7893.1316886897221</c:v>
                </c:pt>
                <c:pt idx="92">
                  <c:v>7901.5177588229353</c:v>
                </c:pt>
                <c:pt idx="93">
                  <c:v>7909.7701633392226</c:v>
                </c:pt>
                <c:pt idx="94">
                  <c:v>7917.8886695154433</c:v>
                </c:pt>
                <c:pt idx="95">
                  <c:v>7925.873030021874</c:v>
                </c:pt>
                <c:pt idx="96">
                  <c:v>7933.7229827281008</c:v>
                </c:pt>
                <c:pt idx="97">
                  <c:v>7941.4382505011781</c:v>
                </c:pt>
                <c:pt idx="98">
                  <c:v>7949.0185409957849</c:v>
                </c:pt>
                <c:pt idx="99">
                  <c:v>7956.4635464361863</c:v>
                </c:pt>
                <c:pt idx="100">
                  <c:v>7963.7729433897139</c:v>
                </c:pt>
                <c:pt idx="101">
                  <c:v>7970.9463925315304</c:v>
                </c:pt>
                <c:pt idx="102">
                  <c:v>7977.9835384003882</c:v>
                </c:pt>
                <c:pt idx="103">
                  <c:v>7984.884009145112</c:v>
                </c:pt>
                <c:pt idx="104">
                  <c:v>7991.6474162615159</c:v>
                </c:pt>
                <c:pt idx="105">
                  <c:v>7998.2733543193963</c:v>
                </c:pt>
                <c:pt idx="106">
                  <c:v>8004.7614006793519</c:v>
                </c:pt>
                <c:pt idx="107">
                  <c:v>8011.1111151990071</c:v>
                </c:pt>
                <c:pt idx="108">
                  <c:v>8017.3220399283318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ProductionCasingOutput!$AI$2</c:f>
              <c:strCache>
                <c:ptCount val="1"/>
                <c:pt idx="0">
                  <c:v>Collapse</c:v>
                </c:pt>
              </c:strCache>
            </c:strRef>
          </c:tx>
          <c:marker>
            <c:symbol val="none"/>
          </c:marker>
          <c:xVal>
            <c:numRef>
              <c:f>ProductionCasingOutput!$AI$3:$AI$111</c:f>
              <c:numCache>
                <c:formatCode>General</c:formatCode>
                <c:ptCount val="109"/>
                <c:pt idx="0">
                  <c:v>0</c:v>
                </c:pt>
                <c:pt idx="1">
                  <c:v>55.428571428571423</c:v>
                </c:pt>
                <c:pt idx="2">
                  <c:v>110.85714285714285</c:v>
                </c:pt>
                <c:pt idx="3">
                  <c:v>166.28571428571428</c:v>
                </c:pt>
                <c:pt idx="4">
                  <c:v>221.71428571428569</c:v>
                </c:pt>
                <c:pt idx="5">
                  <c:v>277.14285714285717</c:v>
                </c:pt>
                <c:pt idx="6">
                  <c:v>332.57142857142856</c:v>
                </c:pt>
                <c:pt idx="7">
                  <c:v>388</c:v>
                </c:pt>
                <c:pt idx="8">
                  <c:v>443.42857142857139</c:v>
                </c:pt>
                <c:pt idx="9">
                  <c:v>498.85714285714289</c:v>
                </c:pt>
                <c:pt idx="10">
                  <c:v>554.28571428571433</c:v>
                </c:pt>
                <c:pt idx="11">
                  <c:v>609.71428571428567</c:v>
                </c:pt>
                <c:pt idx="12">
                  <c:v>665.14285714285711</c:v>
                </c:pt>
                <c:pt idx="13">
                  <c:v>720.57142857142867</c:v>
                </c:pt>
                <c:pt idx="14">
                  <c:v>776</c:v>
                </c:pt>
                <c:pt idx="15">
                  <c:v>831.42857142857144</c:v>
                </c:pt>
                <c:pt idx="16">
                  <c:v>886.85714285714278</c:v>
                </c:pt>
                <c:pt idx="17">
                  <c:v>942.28571428571422</c:v>
                </c:pt>
                <c:pt idx="18">
                  <c:v>997.71428571428578</c:v>
                </c:pt>
                <c:pt idx="19">
                  <c:v>1053.1428571428571</c:v>
                </c:pt>
                <c:pt idx="20">
                  <c:v>1108.5714285714287</c:v>
                </c:pt>
                <c:pt idx="21">
                  <c:v>1164</c:v>
                </c:pt>
                <c:pt idx="22">
                  <c:v>1219.4285714285713</c:v>
                </c:pt>
                <c:pt idx="23">
                  <c:v>1274.8571428571429</c:v>
                </c:pt>
                <c:pt idx="24">
                  <c:v>1330.2857142857142</c:v>
                </c:pt>
                <c:pt idx="25">
                  <c:v>1385.7142857142858</c:v>
                </c:pt>
                <c:pt idx="26">
                  <c:v>1441.1428571428573</c:v>
                </c:pt>
                <c:pt idx="27">
                  <c:v>1496.5714285714284</c:v>
                </c:pt>
                <c:pt idx="28">
                  <c:v>1552</c:v>
                </c:pt>
                <c:pt idx="29">
                  <c:v>1607.4285714285713</c:v>
                </c:pt>
                <c:pt idx="30">
                  <c:v>1662.8571428571429</c:v>
                </c:pt>
                <c:pt idx="31">
                  <c:v>1718.2857142857144</c:v>
                </c:pt>
                <c:pt idx="32">
                  <c:v>1773.7142857142856</c:v>
                </c:pt>
                <c:pt idx="33">
                  <c:v>1829.1428571428571</c:v>
                </c:pt>
                <c:pt idx="34">
                  <c:v>1884.5714285714284</c:v>
                </c:pt>
                <c:pt idx="35">
                  <c:v>1940</c:v>
                </c:pt>
                <c:pt idx="36">
                  <c:v>1995.4285714285716</c:v>
                </c:pt>
                <c:pt idx="37">
                  <c:v>2050.8571428571431</c:v>
                </c:pt>
                <c:pt idx="38">
                  <c:v>2106.2857142857142</c:v>
                </c:pt>
                <c:pt idx="39">
                  <c:v>2161.7142857142858</c:v>
                </c:pt>
                <c:pt idx="40">
                  <c:v>2217.1428571428573</c:v>
                </c:pt>
                <c:pt idx="41">
                  <c:v>2272.5714285714284</c:v>
                </c:pt>
                <c:pt idx="42">
                  <c:v>2328</c:v>
                </c:pt>
                <c:pt idx="43">
                  <c:v>2383.4285714285711</c:v>
                </c:pt>
                <c:pt idx="44">
                  <c:v>2438.8571428571427</c:v>
                </c:pt>
                <c:pt idx="45">
                  <c:v>2494.2857142857142</c:v>
                </c:pt>
                <c:pt idx="46">
                  <c:v>2549.7142857142858</c:v>
                </c:pt>
                <c:pt idx="47">
                  <c:v>2605.1428571428573</c:v>
                </c:pt>
                <c:pt idx="48">
                  <c:v>2660.5714285714284</c:v>
                </c:pt>
                <c:pt idx="49">
                  <c:v>2716</c:v>
                </c:pt>
                <c:pt idx="50">
                  <c:v>2771.4285714285716</c:v>
                </c:pt>
                <c:pt idx="51">
                  <c:v>2826.8571428571431</c:v>
                </c:pt>
                <c:pt idx="52">
                  <c:v>2882.2857142857147</c:v>
                </c:pt>
                <c:pt idx="53">
                  <c:v>2937.7142857142853</c:v>
                </c:pt>
                <c:pt idx="54">
                  <c:v>2993.1428571428569</c:v>
                </c:pt>
                <c:pt idx="55">
                  <c:v>3048.5714285714284</c:v>
                </c:pt>
                <c:pt idx="56">
                  <c:v>3104</c:v>
                </c:pt>
                <c:pt idx="57">
                  <c:v>3159.4285714285716</c:v>
                </c:pt>
                <c:pt idx="58">
                  <c:v>3214.8571428571427</c:v>
                </c:pt>
                <c:pt idx="59">
                  <c:v>3270.2857142857142</c:v>
                </c:pt>
                <c:pt idx="60">
                  <c:v>3325.7142857142858</c:v>
                </c:pt>
                <c:pt idx="61">
                  <c:v>3381.1428571428573</c:v>
                </c:pt>
                <c:pt idx="62">
                  <c:v>3436.5714285714289</c:v>
                </c:pt>
                <c:pt idx="63">
                  <c:v>3492.0000000000005</c:v>
                </c:pt>
                <c:pt idx="64">
                  <c:v>3547.4285714285711</c:v>
                </c:pt>
                <c:pt idx="65">
                  <c:v>3602.8571428571427</c:v>
                </c:pt>
                <c:pt idx="66">
                  <c:v>3658.2857142857142</c:v>
                </c:pt>
                <c:pt idx="67">
                  <c:v>3713.7142857142858</c:v>
                </c:pt>
                <c:pt idx="68">
                  <c:v>3769.1428571428569</c:v>
                </c:pt>
                <c:pt idx="69">
                  <c:v>3824.5714285714284</c:v>
                </c:pt>
                <c:pt idx="70">
                  <c:v>3880</c:v>
                </c:pt>
                <c:pt idx="71">
                  <c:v>3935.4285714285716</c:v>
                </c:pt>
                <c:pt idx="72">
                  <c:v>3990.8571428571431</c:v>
                </c:pt>
                <c:pt idx="73">
                  <c:v>4046.2857142857147</c:v>
                </c:pt>
                <c:pt idx="74">
                  <c:v>4101.7142857142862</c:v>
                </c:pt>
                <c:pt idx="75">
                  <c:v>4157.1428571428578</c:v>
                </c:pt>
                <c:pt idx="76">
                  <c:v>4212.5714285714284</c:v>
                </c:pt>
                <c:pt idx="77">
                  <c:v>4268</c:v>
                </c:pt>
                <c:pt idx="78">
                  <c:v>4323.4285714285716</c:v>
                </c:pt>
                <c:pt idx="79">
                  <c:v>4378.8571428571431</c:v>
                </c:pt>
                <c:pt idx="80">
                  <c:v>4434.2857142857147</c:v>
                </c:pt>
                <c:pt idx="81">
                  <c:v>4489.7142857142853</c:v>
                </c:pt>
                <c:pt idx="82">
                  <c:v>4545.1428571428569</c:v>
                </c:pt>
                <c:pt idx="83">
                  <c:v>4600.5714285714284</c:v>
                </c:pt>
                <c:pt idx="84">
                  <c:v>4656</c:v>
                </c:pt>
                <c:pt idx="85">
                  <c:v>4711.4285714285716</c:v>
                </c:pt>
                <c:pt idx="86">
                  <c:v>4766.8571428571422</c:v>
                </c:pt>
                <c:pt idx="87">
                  <c:v>4822.2857142857138</c:v>
                </c:pt>
                <c:pt idx="88">
                  <c:v>4877.7142857142853</c:v>
                </c:pt>
                <c:pt idx="89">
                  <c:v>4933.1428571428569</c:v>
                </c:pt>
                <c:pt idx="90">
                  <c:v>4988.5714285714284</c:v>
                </c:pt>
                <c:pt idx="91">
                  <c:v>5058.8571428571431</c:v>
                </c:pt>
                <c:pt idx="92">
                  <c:v>5129.1428571428569</c:v>
                </c:pt>
                <c:pt idx="93">
                  <c:v>5199.4285714285716</c:v>
                </c:pt>
                <c:pt idx="94">
                  <c:v>5269.7142857142853</c:v>
                </c:pt>
                <c:pt idx="95">
                  <c:v>5340</c:v>
                </c:pt>
                <c:pt idx="96">
                  <c:v>5410.2857142857147</c:v>
                </c:pt>
                <c:pt idx="97">
                  <c:v>5480.5714285714284</c:v>
                </c:pt>
                <c:pt idx="98">
                  <c:v>5550.8571428571431</c:v>
                </c:pt>
                <c:pt idx="99">
                  <c:v>5621.1428571428578</c:v>
                </c:pt>
                <c:pt idx="100">
                  <c:v>5691.4285714285716</c:v>
                </c:pt>
                <c:pt idx="101">
                  <c:v>5761.7142857142862</c:v>
                </c:pt>
                <c:pt idx="102">
                  <c:v>5832</c:v>
                </c:pt>
                <c:pt idx="103">
                  <c:v>5902.2857142857147</c:v>
                </c:pt>
                <c:pt idx="104">
                  <c:v>5972.5714285714294</c:v>
                </c:pt>
                <c:pt idx="105">
                  <c:v>6042.8571428571431</c:v>
                </c:pt>
                <c:pt idx="106">
                  <c:v>6113.1428571428578</c:v>
                </c:pt>
                <c:pt idx="107">
                  <c:v>6183.4285714285706</c:v>
                </c:pt>
                <c:pt idx="108">
                  <c:v>6253.7142857142853</c:v>
                </c:pt>
              </c:numCache>
            </c:numRef>
          </c:xVal>
          <c:yVal>
            <c:numRef>
              <c:f>ProductionCasingOutput!$A$3:$A$111</c:f>
              <c:numCache>
                <c:formatCode>General</c:formatCode>
                <c:ptCount val="10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663104"/>
        <c:axId val="337665024"/>
      </c:scatterChart>
      <c:valAx>
        <c:axId val="33766310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</a:t>
                </a:r>
                <a:r>
                  <a:rPr lang="en-US" baseline="0"/>
                  <a:t> (psi)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665024"/>
        <c:crosses val="autoZero"/>
        <c:crossBetween val="midCat"/>
      </c:valAx>
      <c:valAx>
        <c:axId val="33766502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(ft)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7663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834580052493442"/>
          <c:y val="0.30704469233012543"/>
          <c:w val="0.24376718889520252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866775</xdr:colOff>
          <xdr:row>15</xdr:row>
          <xdr:rowOff>28575</xdr:rowOff>
        </xdr:from>
        <xdr:to>
          <xdr:col>5</xdr:col>
          <xdr:colOff>533400</xdr:colOff>
          <xdr:row>16</xdr:row>
          <xdr:rowOff>85725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15</xdr:row>
          <xdr:rowOff>28575</xdr:rowOff>
        </xdr:from>
        <xdr:to>
          <xdr:col>4</xdr:col>
          <xdr:colOff>790575</xdr:colOff>
          <xdr:row>16</xdr:row>
          <xdr:rowOff>76200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16</xdr:row>
          <xdr:rowOff>85725</xdr:rowOff>
        </xdr:from>
        <xdr:to>
          <xdr:col>18</xdr:col>
          <xdr:colOff>9525</xdr:colOff>
          <xdr:row>17</xdr:row>
          <xdr:rowOff>152400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Save &amp; 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6</xdr:row>
          <xdr:rowOff>66675</xdr:rowOff>
        </xdr:from>
        <xdr:to>
          <xdr:col>8</xdr:col>
          <xdr:colOff>348089</xdr:colOff>
          <xdr:row>13</xdr:row>
          <xdr:rowOff>15875</xdr:rowOff>
        </xdr:to>
        <xdr:sp macro="" textlink="">
          <xdr:nvSpPr>
            <xdr:cNvPr id="9230" name="DesignList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8</xdr:row>
          <xdr:rowOff>57150</xdr:rowOff>
        </xdr:from>
        <xdr:to>
          <xdr:col>16</xdr:col>
          <xdr:colOff>95250</xdr:colOff>
          <xdr:row>9</xdr:row>
          <xdr:rowOff>76200</xdr:rowOff>
        </xdr:to>
        <xdr:sp macro="" textlink="">
          <xdr:nvSpPr>
            <xdr:cNvPr id="9232" name="CheckBoxCollapse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9</xdr:row>
          <xdr:rowOff>85725</xdr:rowOff>
        </xdr:from>
        <xdr:to>
          <xdr:col>16</xdr:col>
          <xdr:colOff>9525</xdr:colOff>
          <xdr:row>10</xdr:row>
          <xdr:rowOff>95250</xdr:rowOff>
        </xdr:to>
        <xdr:sp macro="" textlink="">
          <xdr:nvSpPr>
            <xdr:cNvPr id="9233" name="CheckBoxBurst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10</xdr:row>
          <xdr:rowOff>123825</xdr:rowOff>
        </xdr:from>
        <xdr:to>
          <xdr:col>16</xdr:col>
          <xdr:colOff>95250</xdr:colOff>
          <xdr:row>11</xdr:row>
          <xdr:rowOff>133350</xdr:rowOff>
        </xdr:to>
        <xdr:sp macro="" textlink="">
          <xdr:nvSpPr>
            <xdr:cNvPr id="9234" name="CheckBoxTensile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9</xdr:row>
          <xdr:rowOff>47625</xdr:rowOff>
        </xdr:from>
        <xdr:to>
          <xdr:col>18</xdr:col>
          <xdr:colOff>66675</xdr:colOff>
          <xdr:row>10</xdr:row>
          <xdr:rowOff>142875</xdr:rowOff>
        </xdr:to>
        <xdr:sp macro="" textlink="">
          <xdr:nvSpPr>
            <xdr:cNvPr id="9236" name="CheckBoxGas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142875</xdr:colOff>
          <xdr:row>7</xdr:row>
          <xdr:rowOff>95250</xdr:rowOff>
        </xdr:from>
        <xdr:to>
          <xdr:col>22</xdr:col>
          <xdr:colOff>838200</xdr:colOff>
          <xdr:row>9</xdr:row>
          <xdr:rowOff>95250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10</xdr:row>
          <xdr:rowOff>133350</xdr:rowOff>
        </xdr:from>
        <xdr:to>
          <xdr:col>17</xdr:col>
          <xdr:colOff>838200</xdr:colOff>
          <xdr:row>11</xdr:row>
          <xdr:rowOff>133350</xdr:rowOff>
        </xdr:to>
        <xdr:sp macro="" textlink="">
          <xdr:nvSpPr>
            <xdr:cNvPr id="9240" name="CheckBoxClosedEnd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20</xdr:row>
          <xdr:rowOff>104775</xdr:rowOff>
        </xdr:from>
        <xdr:to>
          <xdr:col>5</xdr:col>
          <xdr:colOff>371475</xdr:colOff>
          <xdr:row>21</xdr:row>
          <xdr:rowOff>161925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Surface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22</xdr:row>
          <xdr:rowOff>47625</xdr:rowOff>
        </xdr:from>
        <xdr:to>
          <xdr:col>5</xdr:col>
          <xdr:colOff>371475</xdr:colOff>
          <xdr:row>23</xdr:row>
          <xdr:rowOff>114300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Intermediate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24</xdr:row>
          <xdr:rowOff>38100</xdr:rowOff>
        </xdr:from>
        <xdr:to>
          <xdr:col>5</xdr:col>
          <xdr:colOff>352425</xdr:colOff>
          <xdr:row>25</xdr:row>
          <xdr:rowOff>104775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8</xdr:row>
          <xdr:rowOff>47625</xdr:rowOff>
        </xdr:from>
        <xdr:to>
          <xdr:col>18</xdr:col>
          <xdr:colOff>38100</xdr:colOff>
          <xdr:row>9</xdr:row>
          <xdr:rowOff>66675</xdr:rowOff>
        </xdr:to>
        <xdr:sp macro="" textlink="">
          <xdr:nvSpPr>
            <xdr:cNvPr id="9245" name="CheckBoxLeaky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13</xdr:row>
          <xdr:rowOff>142875</xdr:rowOff>
        </xdr:from>
        <xdr:to>
          <xdr:col>4</xdr:col>
          <xdr:colOff>762000</xdr:colOff>
          <xdr:row>14</xdr:row>
          <xdr:rowOff>180975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29</xdr:row>
          <xdr:rowOff>85725</xdr:rowOff>
        </xdr:from>
        <xdr:to>
          <xdr:col>9</xdr:col>
          <xdr:colOff>114300</xdr:colOff>
          <xdr:row>31</xdr:row>
          <xdr:rowOff>38100</xdr:rowOff>
        </xdr:to>
        <xdr:sp macro="" textlink="">
          <xdr:nvSpPr>
            <xdr:cNvPr id="9247" name="Button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Review Casing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42862</xdr:rowOff>
    </xdr:from>
    <xdr:to>
      <xdr:col>4</xdr:col>
      <xdr:colOff>485775</xdr:colOff>
      <xdr:row>20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200026</xdr:colOff>
      <xdr:row>5</xdr:row>
      <xdr:rowOff>161925</xdr:rowOff>
    </xdr:from>
    <xdr:to>
      <xdr:col>10</xdr:col>
      <xdr:colOff>180976</xdr:colOff>
      <xdr:row>19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171450</xdr:colOff>
      <xdr:row>10</xdr:row>
      <xdr:rowOff>119062</xdr:rowOff>
    </xdr:from>
    <xdr:to>
      <xdr:col>17</xdr:col>
      <xdr:colOff>371475</xdr:colOff>
      <xdr:row>24</xdr:row>
      <xdr:rowOff>61912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171451</xdr:colOff>
      <xdr:row>10</xdr:row>
      <xdr:rowOff>114300</xdr:rowOff>
    </xdr:from>
    <xdr:to>
      <xdr:col>26</xdr:col>
      <xdr:colOff>57151</xdr:colOff>
      <xdr:row>24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66675</xdr:colOff>
      <xdr:row>8</xdr:row>
      <xdr:rowOff>161925</xdr:rowOff>
    </xdr:from>
    <xdr:to>
      <xdr:col>33</xdr:col>
      <xdr:colOff>638175</xdr:colOff>
      <xdr:row>22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542925</xdr:colOff>
      <xdr:row>12</xdr:row>
      <xdr:rowOff>161925</xdr:rowOff>
    </xdr:from>
    <xdr:to>
      <xdr:col>43</xdr:col>
      <xdr:colOff>428625</xdr:colOff>
      <xdr:row>26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9</xdr:row>
      <xdr:rowOff>14287</xdr:rowOff>
    </xdr:from>
    <xdr:to>
      <xdr:col>4</xdr:col>
      <xdr:colOff>942975</xdr:colOff>
      <xdr:row>22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285750</xdr:colOff>
      <xdr:row>7</xdr:row>
      <xdr:rowOff>76200</xdr:rowOff>
    </xdr:from>
    <xdr:to>
      <xdr:col>11</xdr:col>
      <xdr:colOff>628650</xdr:colOff>
      <xdr:row>21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247649</xdr:colOff>
      <xdr:row>7</xdr:row>
      <xdr:rowOff>38099</xdr:rowOff>
    </xdr:from>
    <xdr:to>
      <xdr:col>18</xdr:col>
      <xdr:colOff>571499</xdr:colOff>
      <xdr:row>21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190500</xdr:colOff>
      <xdr:row>7</xdr:row>
      <xdr:rowOff>142875</xdr:rowOff>
    </xdr:from>
    <xdr:to>
      <xdr:col>26</xdr:col>
      <xdr:colOff>257175</xdr:colOff>
      <xdr:row>22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666750</xdr:colOff>
      <xdr:row>11</xdr:row>
      <xdr:rowOff>47625</xdr:rowOff>
    </xdr:from>
    <xdr:to>
      <xdr:col>34</xdr:col>
      <xdr:colOff>47625</xdr:colOff>
      <xdr:row>25</xdr:row>
      <xdr:rowOff>133350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95250</xdr:colOff>
      <xdr:row>7</xdr:row>
      <xdr:rowOff>28575</xdr:rowOff>
    </xdr:from>
    <xdr:to>
      <xdr:col>43</xdr:col>
      <xdr:colOff>161925</xdr:colOff>
      <xdr:row>21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10</xdr:row>
      <xdr:rowOff>14287</xdr:rowOff>
    </xdr:from>
    <xdr:to>
      <xdr:col>4</xdr:col>
      <xdr:colOff>1057275</xdr:colOff>
      <xdr:row>23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609600</xdr:colOff>
      <xdr:row>10</xdr:row>
      <xdr:rowOff>104775</xdr:rowOff>
    </xdr:from>
    <xdr:to>
      <xdr:col>11</xdr:col>
      <xdr:colOff>238125</xdr:colOff>
      <xdr:row>24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9</xdr:row>
      <xdr:rowOff>38100</xdr:rowOff>
    </xdr:from>
    <xdr:to>
      <xdr:col>18</xdr:col>
      <xdr:colOff>333375</xdr:colOff>
      <xdr:row>22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66676</xdr:colOff>
      <xdr:row>8</xdr:row>
      <xdr:rowOff>171450</xdr:rowOff>
    </xdr:from>
    <xdr:to>
      <xdr:col>25</xdr:col>
      <xdr:colOff>600075</xdr:colOff>
      <xdr:row>22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114300</xdr:colOff>
      <xdr:row>9</xdr:row>
      <xdr:rowOff>133350</xdr:rowOff>
    </xdr:from>
    <xdr:to>
      <xdr:col>33</xdr:col>
      <xdr:colOff>9525</xdr:colOff>
      <xdr:row>23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66675</xdr:colOff>
      <xdr:row>8</xdr:row>
      <xdr:rowOff>180975</xdr:rowOff>
    </xdr:from>
    <xdr:to>
      <xdr:col>41</xdr:col>
      <xdr:colOff>647700</xdr:colOff>
      <xdr:row>22</xdr:row>
      <xdr:rowOff>123825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dit\Downloads\prj_4_DmZ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SCD"/>
      <sheetName val="ICD"/>
      <sheetName val="PCD"/>
      <sheetName val="SurfaceData"/>
    </sheetNames>
    <sheetDataSet>
      <sheetData sheetId="0">
        <row r="11">
          <cell r="I11">
            <v>4800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26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6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6"/>
  <sheetViews>
    <sheetView tabSelected="1" workbookViewId="0"/>
  </sheetViews>
  <sheetFormatPr defaultRowHeight="15.75" x14ac:dyDescent="0.25"/>
  <cols>
    <col min="3" max="3" width="10.375" bestFit="1" customWidth="1"/>
    <col min="5" max="5" width="11.875" customWidth="1"/>
    <col min="7" max="7" width="10.5" bestFit="1" customWidth="1"/>
    <col min="8" max="8" width="13.75" customWidth="1"/>
    <col min="9" max="9" width="22.375" customWidth="1"/>
    <col min="10" max="10" width="1.875" customWidth="1"/>
    <col min="11" max="11" width="24.75" customWidth="1"/>
    <col min="12" max="12" width="1.375" customWidth="1"/>
  </cols>
  <sheetData>
    <row r="1" spans="2:12" ht="16.5" thickBot="1" x14ac:dyDescent="0.3"/>
    <row r="2" spans="2:12" x14ac:dyDescent="0.25">
      <c r="B2" s="139" t="s">
        <v>246</v>
      </c>
      <c r="C2" s="140"/>
      <c r="D2" s="140"/>
      <c r="E2" s="140"/>
      <c r="F2" s="140"/>
      <c r="G2" s="140"/>
      <c r="H2" s="141"/>
    </row>
    <row r="3" spans="2:12" x14ac:dyDescent="0.25">
      <c r="B3" s="39" t="s">
        <v>152</v>
      </c>
      <c r="C3" s="56" t="s">
        <v>172</v>
      </c>
      <c r="D3" s="56" t="s">
        <v>47</v>
      </c>
      <c r="E3" s="56" t="s">
        <v>153</v>
      </c>
      <c r="F3" s="56" t="s">
        <v>173</v>
      </c>
      <c r="G3" s="56" t="s">
        <v>174</v>
      </c>
      <c r="H3" s="58" t="s">
        <v>154</v>
      </c>
    </row>
    <row r="4" spans="2:12" x14ac:dyDescent="0.25">
      <c r="B4" s="39">
        <v>1</v>
      </c>
      <c r="C4" s="2">
        <v>40</v>
      </c>
      <c r="D4" s="2" t="s">
        <v>245</v>
      </c>
      <c r="E4" s="35" t="s">
        <v>165</v>
      </c>
      <c r="F4" s="35">
        <v>4800</v>
      </c>
      <c r="G4" s="35">
        <v>0</v>
      </c>
      <c r="H4" s="36">
        <v>116351.99999999999</v>
      </c>
    </row>
    <row r="5" spans="2:12" x14ac:dyDescent="0.25">
      <c r="B5" s="39">
        <v>2</v>
      </c>
      <c r="C5" s="2"/>
      <c r="D5" s="2"/>
      <c r="E5" s="35"/>
      <c r="F5" s="35"/>
      <c r="G5" s="35"/>
      <c r="H5" s="36"/>
    </row>
    <row r="6" spans="2:12" x14ac:dyDescent="0.25">
      <c r="B6" s="39">
        <v>3</v>
      </c>
      <c r="C6" s="2"/>
      <c r="D6" s="2"/>
      <c r="E6" s="35"/>
      <c r="F6" s="35"/>
      <c r="G6" s="35"/>
      <c r="H6" s="36"/>
    </row>
    <row r="7" spans="2:12" x14ac:dyDescent="0.25">
      <c r="B7" s="39">
        <v>4</v>
      </c>
      <c r="C7" s="2"/>
      <c r="D7" s="2"/>
      <c r="E7" s="35"/>
      <c r="F7" s="35"/>
      <c r="G7" s="35"/>
      <c r="H7" s="36"/>
    </row>
    <row r="8" spans="2:12" ht="16.5" thickBot="1" x14ac:dyDescent="0.3">
      <c r="B8" s="40" t="s">
        <v>156</v>
      </c>
      <c r="C8" s="136" t="s">
        <v>157</v>
      </c>
      <c r="D8" s="137"/>
      <c r="E8" s="137"/>
      <c r="F8" s="137"/>
      <c r="G8" s="138"/>
      <c r="H8" s="57">
        <f>SUM(H4:H7)</f>
        <v>116351.99999999999</v>
      </c>
    </row>
    <row r="9" spans="2:12" ht="16.5" thickBot="1" x14ac:dyDescent="0.3">
      <c r="B9" s="50"/>
      <c r="C9" s="50"/>
      <c r="D9" s="50"/>
      <c r="E9" s="107"/>
      <c r="F9" s="107"/>
      <c r="G9" s="107"/>
      <c r="H9" s="107"/>
    </row>
    <row r="10" spans="2:12" ht="16.5" thickBot="1" x14ac:dyDescent="0.3">
      <c r="B10" s="142" t="s">
        <v>175</v>
      </c>
      <c r="C10" s="143"/>
      <c r="D10" s="143"/>
      <c r="E10" s="143"/>
      <c r="F10" s="143"/>
      <c r="G10" s="143"/>
      <c r="H10" s="144"/>
      <c r="J10" s="120"/>
      <c r="K10" s="127"/>
      <c r="L10" s="123"/>
    </row>
    <row r="11" spans="2:12" x14ac:dyDescent="0.25">
      <c r="B11" s="39" t="s">
        <v>152</v>
      </c>
      <c r="C11" s="56" t="s">
        <v>172</v>
      </c>
      <c r="D11" s="56" t="s">
        <v>47</v>
      </c>
      <c r="E11" s="56" t="s">
        <v>153</v>
      </c>
      <c r="F11" s="56" t="s">
        <v>173</v>
      </c>
      <c r="G11" s="56" t="s">
        <v>174</v>
      </c>
      <c r="H11" s="58" t="s">
        <v>154</v>
      </c>
      <c r="J11" s="120"/>
      <c r="K11" s="129" t="s">
        <v>254</v>
      </c>
      <c r="L11" s="123"/>
    </row>
    <row r="12" spans="2:12" x14ac:dyDescent="0.25">
      <c r="B12" s="39">
        <v>1</v>
      </c>
      <c r="C12" s="2">
        <v>26.4</v>
      </c>
      <c r="D12" s="2" t="s">
        <v>241</v>
      </c>
      <c r="E12" s="35" t="s">
        <v>165</v>
      </c>
      <c r="F12" s="35">
        <v>500</v>
      </c>
      <c r="G12" s="35">
        <v>0</v>
      </c>
      <c r="H12" s="36">
        <v>9900</v>
      </c>
      <c r="J12" s="121"/>
      <c r="K12" s="130" t="s">
        <v>255</v>
      </c>
      <c r="L12" s="124"/>
    </row>
    <row r="13" spans="2:12" ht="16.5" thickBot="1" x14ac:dyDescent="0.3">
      <c r="B13" s="39">
        <v>2</v>
      </c>
      <c r="C13" s="2">
        <v>29.7</v>
      </c>
      <c r="D13" s="2" t="s">
        <v>245</v>
      </c>
      <c r="E13" s="35" t="s">
        <v>165</v>
      </c>
      <c r="F13" s="35">
        <v>7000</v>
      </c>
      <c r="G13" s="35">
        <v>500</v>
      </c>
      <c r="H13" s="36">
        <v>117974.99999999999</v>
      </c>
      <c r="J13" s="122"/>
      <c r="K13" s="131" t="s">
        <v>256</v>
      </c>
      <c r="L13" s="125"/>
    </row>
    <row r="14" spans="2:12" ht="16.5" thickBot="1" x14ac:dyDescent="0.3">
      <c r="B14" s="39">
        <v>3</v>
      </c>
      <c r="C14" s="2">
        <v>29.7</v>
      </c>
      <c r="D14" s="2" t="s">
        <v>241</v>
      </c>
      <c r="E14" s="35" t="s">
        <v>165</v>
      </c>
      <c r="F14" s="35">
        <v>8450</v>
      </c>
      <c r="G14" s="35">
        <v>7000</v>
      </c>
      <c r="H14" s="36">
        <v>32190</v>
      </c>
      <c r="J14" s="121"/>
      <c r="K14" s="126"/>
      <c r="L14" s="124"/>
    </row>
    <row r="15" spans="2:12" x14ac:dyDescent="0.25">
      <c r="B15" s="39">
        <v>4</v>
      </c>
      <c r="C15" s="2"/>
      <c r="D15" s="2"/>
      <c r="E15" s="35"/>
      <c r="F15" s="35"/>
      <c r="G15" s="35"/>
      <c r="H15" s="36"/>
      <c r="J15" s="120"/>
      <c r="K15" s="129" t="s">
        <v>257</v>
      </c>
      <c r="L15" s="123"/>
    </row>
    <row r="16" spans="2:12" ht="16.5" thickBot="1" x14ac:dyDescent="0.3">
      <c r="B16" s="40" t="s">
        <v>156</v>
      </c>
      <c r="C16" s="136" t="s">
        <v>157</v>
      </c>
      <c r="D16" s="137"/>
      <c r="E16" s="137"/>
      <c r="F16" s="137"/>
      <c r="G16" s="138"/>
      <c r="H16" s="57">
        <f>SUM(H12:H15)</f>
        <v>160065</v>
      </c>
      <c r="J16" s="121"/>
      <c r="K16" s="132" t="s">
        <v>259</v>
      </c>
      <c r="L16" s="124"/>
    </row>
    <row r="17" spans="2:12" ht="16.5" thickBot="1" x14ac:dyDescent="0.3">
      <c r="B17" s="50"/>
      <c r="C17" s="50"/>
      <c r="D17" s="50"/>
      <c r="E17" s="107"/>
      <c r="F17" s="107"/>
      <c r="G17" s="107"/>
      <c r="H17" s="107"/>
      <c r="J17" s="122"/>
      <c r="K17" s="131" t="s">
        <v>258</v>
      </c>
      <c r="L17" s="125"/>
    </row>
    <row r="18" spans="2:12" ht="16.5" thickBot="1" x14ac:dyDescent="0.3">
      <c r="B18" s="145" t="s">
        <v>247</v>
      </c>
      <c r="C18" s="146"/>
      <c r="D18" s="146"/>
      <c r="E18" s="146"/>
      <c r="F18" s="146"/>
      <c r="G18" s="146"/>
      <c r="H18" s="147"/>
      <c r="J18" s="122"/>
      <c r="K18" s="128"/>
      <c r="L18" s="125"/>
    </row>
    <row r="19" spans="2:12" x14ac:dyDescent="0.25">
      <c r="B19" s="39" t="s">
        <v>152</v>
      </c>
      <c r="C19" s="56" t="s">
        <v>172</v>
      </c>
      <c r="D19" s="56" t="s">
        <v>47</v>
      </c>
      <c r="E19" s="56" t="s">
        <v>153</v>
      </c>
      <c r="F19" s="56" t="s">
        <v>173</v>
      </c>
      <c r="G19" s="56" t="s">
        <v>174</v>
      </c>
      <c r="H19" s="58" t="s">
        <v>154</v>
      </c>
    </row>
    <row r="20" spans="2:12" x14ac:dyDescent="0.25">
      <c r="B20" s="39">
        <v>1</v>
      </c>
      <c r="C20" s="2">
        <v>11.6</v>
      </c>
      <c r="D20" s="2" t="s">
        <v>248</v>
      </c>
      <c r="E20" s="35" t="s">
        <v>165</v>
      </c>
      <c r="F20" s="35">
        <v>1200</v>
      </c>
      <c r="G20" s="35">
        <v>0</v>
      </c>
      <c r="H20" s="36">
        <v>14640</v>
      </c>
    </row>
    <row r="21" spans="2:12" x14ac:dyDescent="0.25">
      <c r="B21" s="39">
        <v>2</v>
      </c>
      <c r="C21" s="2">
        <v>13.5</v>
      </c>
      <c r="D21" s="2" t="s">
        <v>241</v>
      </c>
      <c r="E21" s="35" t="s">
        <v>165</v>
      </c>
      <c r="F21" s="35">
        <v>3200</v>
      </c>
      <c r="G21" s="35">
        <v>1200</v>
      </c>
      <c r="H21" s="36">
        <v>20840</v>
      </c>
    </row>
    <row r="22" spans="2:12" x14ac:dyDescent="0.25">
      <c r="B22" s="39">
        <v>3</v>
      </c>
      <c r="C22" s="2">
        <v>11.6</v>
      </c>
      <c r="D22" s="2" t="s">
        <v>241</v>
      </c>
      <c r="E22" s="35" t="s">
        <v>165</v>
      </c>
      <c r="F22" s="35">
        <v>4700</v>
      </c>
      <c r="G22" s="35">
        <v>3200</v>
      </c>
      <c r="H22" s="36">
        <v>13559.999999999998</v>
      </c>
    </row>
    <row r="23" spans="2:12" x14ac:dyDescent="0.25">
      <c r="B23" s="39">
        <v>4</v>
      </c>
      <c r="C23" s="2">
        <v>13.5</v>
      </c>
      <c r="D23" s="2" t="s">
        <v>245</v>
      </c>
      <c r="E23" s="35" t="s">
        <v>165</v>
      </c>
      <c r="F23" s="35">
        <v>10800</v>
      </c>
      <c r="G23" s="35">
        <v>4700</v>
      </c>
      <c r="H23" s="36">
        <v>52338</v>
      </c>
    </row>
    <row r="24" spans="2:12" ht="16.5" thickBot="1" x14ac:dyDescent="0.3">
      <c r="B24" s="40" t="s">
        <v>156</v>
      </c>
      <c r="C24" s="136" t="s">
        <v>157</v>
      </c>
      <c r="D24" s="137"/>
      <c r="E24" s="137"/>
      <c r="F24" s="137"/>
      <c r="G24" s="138"/>
      <c r="H24" s="119">
        <f>SUM(H20:H23)</f>
        <v>101378</v>
      </c>
    </row>
    <row r="25" spans="2:12" ht="16.5" thickBot="1" x14ac:dyDescent="0.3">
      <c r="B25" s="50"/>
      <c r="C25" s="50"/>
      <c r="D25" s="50"/>
      <c r="E25" s="107"/>
      <c r="F25" s="107"/>
      <c r="G25" s="107"/>
      <c r="H25" s="107"/>
    </row>
    <row r="26" spans="2:12" ht="16.5" thickBot="1" x14ac:dyDescent="0.3">
      <c r="B26" s="50"/>
      <c r="C26" s="50"/>
      <c r="D26" s="50"/>
      <c r="E26" s="107"/>
      <c r="F26" s="107"/>
      <c r="G26" s="117" t="s">
        <v>253</v>
      </c>
      <c r="H26" s="118">
        <f>SUM(H24,H16,H8)</f>
        <v>377795</v>
      </c>
    </row>
  </sheetData>
  <mergeCells count="6">
    <mergeCell ref="C24:G24"/>
    <mergeCell ref="B2:H2"/>
    <mergeCell ref="C8:G8"/>
    <mergeCell ref="B10:H10"/>
    <mergeCell ref="C16:G16"/>
    <mergeCell ref="B18:H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D79"/>
  <sheetViews>
    <sheetView topLeftCell="A7" zoomScaleNormal="100" workbookViewId="0">
      <selection activeCell="G34" sqref="G34"/>
    </sheetView>
  </sheetViews>
  <sheetFormatPr defaultRowHeight="15.75" x14ac:dyDescent="0.25"/>
  <cols>
    <col min="1" max="1" width="1.875" style="1" customWidth="1"/>
    <col min="2" max="2" width="14.75" style="1" customWidth="1"/>
    <col min="3" max="3" width="6.625" style="1" customWidth="1"/>
    <col min="4" max="4" width="1.625" style="1" customWidth="1"/>
    <col min="5" max="5" width="12.625" style="1" bestFit="1" customWidth="1"/>
    <col min="6" max="6" width="11" style="1" customWidth="1"/>
    <col min="7" max="7" width="2.25" style="1" customWidth="1"/>
    <col min="8" max="8" width="7.5" style="1" customWidth="1"/>
    <col min="9" max="9" width="12" style="1" bestFit="1" customWidth="1"/>
    <col min="10" max="10" width="10.5" style="1" bestFit="1" customWidth="1"/>
    <col min="11" max="11" width="5.625" style="1" bestFit="1" customWidth="1"/>
    <col min="12" max="12" width="9.25" style="1" bestFit="1" customWidth="1"/>
    <col min="13" max="13" width="9.5" style="1" bestFit="1" customWidth="1"/>
    <col min="14" max="14" width="4.375" style="1" customWidth="1"/>
    <col min="15" max="15" width="1.25" style="1" customWidth="1"/>
    <col min="16" max="16" width="9.875" style="1" customWidth="1"/>
    <col min="17" max="17" width="5" style="1" customWidth="1"/>
    <col min="18" max="18" width="12.125" style="1" customWidth="1"/>
    <col min="19" max="19" width="1.75" style="1" customWidth="1"/>
    <col min="20" max="20" width="1" style="1" customWidth="1"/>
    <col min="21" max="21" width="1.125" style="1" customWidth="1"/>
    <col min="22" max="22" width="6.875" style="50" bestFit="1" customWidth="1"/>
    <col min="23" max="23" width="12.625" style="50" bestFit="1" customWidth="1"/>
    <col min="24" max="24" width="5.75" style="50" bestFit="1" customWidth="1"/>
    <col min="25" max="25" width="10.125" style="1" bestFit="1" customWidth="1"/>
    <col min="26" max="26" width="9.625" style="1" bestFit="1" customWidth="1"/>
    <col min="27" max="27" width="10" style="1" bestFit="1" customWidth="1"/>
    <col min="28" max="28" width="12.125" style="1" bestFit="1" customWidth="1"/>
    <col min="29" max="16384" width="9" style="1"/>
  </cols>
  <sheetData>
    <row r="1" spans="2:30" ht="9" customHeight="1" thickBot="1" x14ac:dyDescent="0.3"/>
    <row r="2" spans="2:30" ht="16.5" customHeight="1" thickBot="1" x14ac:dyDescent="0.3">
      <c r="B2" s="151" t="s">
        <v>143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3"/>
    </row>
    <row r="3" spans="2:30" ht="10.5" customHeight="1" thickBot="1" x14ac:dyDescent="0.3"/>
    <row r="4" spans="2:30" ht="24.75" customHeight="1" thickBot="1" x14ac:dyDescent="0.3">
      <c r="B4" s="159" t="s">
        <v>125</v>
      </c>
      <c r="C4" s="160"/>
      <c r="D4" s="32"/>
      <c r="E4" s="151" t="s">
        <v>134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3"/>
      <c r="V4" s="151" t="s">
        <v>166</v>
      </c>
      <c r="W4" s="152"/>
      <c r="X4" s="152"/>
      <c r="Y4" s="152"/>
      <c r="Z4" s="152"/>
      <c r="AA4" s="152"/>
      <c r="AB4" s="153"/>
    </row>
    <row r="5" spans="2:30" ht="16.5" thickBot="1" x14ac:dyDescent="0.3">
      <c r="B5" s="39" t="s">
        <v>126</v>
      </c>
      <c r="C5" s="36">
        <v>4.5</v>
      </c>
      <c r="D5" s="33"/>
      <c r="H5" s="33"/>
      <c r="I5" s="33"/>
    </row>
    <row r="6" spans="2:30" ht="16.5" thickBot="1" x14ac:dyDescent="0.3">
      <c r="B6" s="39" t="s">
        <v>127</v>
      </c>
      <c r="C6" s="36">
        <v>10800</v>
      </c>
      <c r="D6" s="33"/>
      <c r="E6" s="166" t="s">
        <v>135</v>
      </c>
      <c r="F6" s="167"/>
      <c r="H6" s="163" t="s">
        <v>147</v>
      </c>
      <c r="I6" s="164"/>
      <c r="J6" s="164"/>
      <c r="K6" s="164"/>
      <c r="L6" s="164"/>
      <c r="M6" s="164"/>
      <c r="N6" s="165"/>
      <c r="P6" s="151" t="s">
        <v>138</v>
      </c>
      <c r="Q6" s="152"/>
      <c r="R6" s="152"/>
      <c r="S6" s="153"/>
      <c r="V6" s="151" t="s">
        <v>171</v>
      </c>
      <c r="W6" s="152"/>
      <c r="X6" s="152"/>
      <c r="Y6" s="152"/>
      <c r="Z6" s="152"/>
      <c r="AA6" s="152"/>
      <c r="AB6" s="153"/>
    </row>
    <row r="7" spans="2:30" ht="16.5" thickBot="1" x14ac:dyDescent="0.3">
      <c r="B7" s="39" t="s">
        <v>146</v>
      </c>
      <c r="C7" s="36">
        <v>6.25</v>
      </c>
      <c r="D7" s="33"/>
      <c r="E7" s="63"/>
      <c r="F7" s="64"/>
      <c r="H7" s="49" t="s">
        <v>149</v>
      </c>
      <c r="I7" s="4">
        <v>0</v>
      </c>
      <c r="J7" s="51" t="s">
        <v>142</v>
      </c>
      <c r="K7" s="71" t="s">
        <v>136</v>
      </c>
      <c r="L7" s="72">
        <v>0</v>
      </c>
      <c r="M7" s="161" t="s">
        <v>137</v>
      </c>
      <c r="N7" s="162"/>
      <c r="P7" s="42"/>
      <c r="Q7" s="42"/>
      <c r="R7" s="42"/>
      <c r="S7" s="42"/>
    </row>
    <row r="8" spans="2:30" x14ac:dyDescent="0.25">
      <c r="B8" s="39" t="s">
        <v>144</v>
      </c>
      <c r="C8" s="36">
        <v>3</v>
      </c>
      <c r="D8" s="33"/>
      <c r="E8" s="65"/>
      <c r="F8" s="66"/>
      <c r="H8" s="39"/>
      <c r="I8" s="179" t="s">
        <v>130</v>
      </c>
      <c r="J8" s="180"/>
      <c r="K8" s="73"/>
      <c r="L8" s="179" t="s">
        <v>131</v>
      </c>
      <c r="M8" s="180"/>
      <c r="N8" s="74"/>
      <c r="P8" s="154" t="s">
        <v>139</v>
      </c>
      <c r="Q8" s="155"/>
      <c r="R8" s="155"/>
      <c r="S8" s="156"/>
      <c r="V8" s="170"/>
      <c r="W8" s="171"/>
      <c r="Y8" s="55" t="s">
        <v>150</v>
      </c>
      <c r="Z8" s="82">
        <f>AB18</f>
        <v>160065</v>
      </c>
    </row>
    <row r="9" spans="2:30" x14ac:dyDescent="0.25">
      <c r="B9" s="39" t="s">
        <v>145</v>
      </c>
      <c r="C9" s="36">
        <v>3</v>
      </c>
      <c r="D9" s="33"/>
      <c r="E9" s="65"/>
      <c r="F9" s="66"/>
      <c r="H9" s="48" t="s">
        <v>148</v>
      </c>
      <c r="I9" s="179">
        <f>FLOOR((COUNT(Depth__ft)+COUNT(J11:J18))/2,1)</f>
        <v>2</v>
      </c>
      <c r="J9" s="180"/>
      <c r="K9" s="75"/>
      <c r="L9" s="179">
        <f>FLOOR((COUNT(L11:L18)+COUNT(M11:M18))/2,1)</f>
        <v>1</v>
      </c>
      <c r="M9" s="180"/>
      <c r="N9" s="76"/>
      <c r="P9" s="41"/>
      <c r="Q9" s="42"/>
      <c r="R9" s="42"/>
      <c r="S9" s="43"/>
      <c r="V9" s="83"/>
      <c r="W9" s="84"/>
      <c r="Y9" s="55" t="s">
        <v>151</v>
      </c>
      <c r="Z9" s="35">
        <f>COUNT(W14:W17)</f>
        <v>3</v>
      </c>
    </row>
    <row r="10" spans="2:30" ht="16.5" thickBot="1" x14ac:dyDescent="0.3">
      <c r="B10" s="39" t="s">
        <v>160</v>
      </c>
      <c r="C10" s="36">
        <v>1</v>
      </c>
      <c r="D10" s="33"/>
      <c r="E10" s="65"/>
      <c r="F10" s="66"/>
      <c r="H10" s="48" t="s">
        <v>129</v>
      </c>
      <c r="I10" s="47" t="s">
        <v>0</v>
      </c>
      <c r="J10" s="59" t="s">
        <v>132</v>
      </c>
      <c r="K10" s="75"/>
      <c r="L10" s="47" t="s">
        <v>0</v>
      </c>
      <c r="M10" s="59" t="s">
        <v>132</v>
      </c>
      <c r="N10" s="76"/>
      <c r="P10" s="41"/>
      <c r="Q10" s="42"/>
      <c r="R10" s="42"/>
      <c r="S10" s="43"/>
      <c r="V10" s="85"/>
      <c r="W10" s="86"/>
    </row>
    <row r="11" spans="2:30" ht="16.5" thickBot="1" x14ac:dyDescent="0.3">
      <c r="B11" s="40" t="s">
        <v>161</v>
      </c>
      <c r="C11" s="38">
        <v>15</v>
      </c>
      <c r="D11" s="33"/>
      <c r="E11" s="65"/>
      <c r="F11" s="66"/>
      <c r="H11" s="52">
        <v>1</v>
      </c>
      <c r="I11" s="35">
        <v>10100</v>
      </c>
      <c r="J11" s="60">
        <v>8.33</v>
      </c>
      <c r="K11" s="73"/>
      <c r="L11" s="108">
        <v>10321</v>
      </c>
      <c r="M11" s="60">
        <v>9.1</v>
      </c>
      <c r="N11" s="73"/>
      <c r="P11" s="41"/>
      <c r="Q11" s="42"/>
      <c r="R11" s="1" t="b">
        <v>0</v>
      </c>
      <c r="S11" s="43"/>
    </row>
    <row r="12" spans="2:30" ht="16.5" thickBot="1" x14ac:dyDescent="0.3">
      <c r="D12" s="33"/>
      <c r="E12" s="65"/>
      <c r="F12" s="66"/>
      <c r="H12" s="52">
        <v>2</v>
      </c>
      <c r="I12" s="35">
        <v>10800</v>
      </c>
      <c r="J12" s="60">
        <v>0</v>
      </c>
      <c r="K12" s="75"/>
      <c r="L12" s="109"/>
      <c r="M12" s="60"/>
      <c r="N12" s="75"/>
      <c r="P12" s="44"/>
      <c r="Q12" s="45"/>
      <c r="R12" s="45"/>
      <c r="S12" s="46"/>
      <c r="V12" s="172" t="s">
        <v>155</v>
      </c>
      <c r="W12" s="173"/>
      <c r="X12" s="173"/>
      <c r="Y12" s="173"/>
      <c r="Z12" s="173"/>
      <c r="AA12" s="173"/>
      <c r="AB12" s="174"/>
    </row>
    <row r="13" spans="2:30" ht="16.5" thickBot="1" x14ac:dyDescent="0.3">
      <c r="B13" s="154" t="s">
        <v>133</v>
      </c>
      <c r="C13" s="156"/>
      <c r="D13" s="33"/>
      <c r="E13" s="65"/>
      <c r="F13" s="66"/>
      <c r="H13" s="52">
        <v>3</v>
      </c>
      <c r="I13" s="35"/>
      <c r="J13" s="60"/>
      <c r="K13" s="75"/>
      <c r="L13" s="109"/>
      <c r="M13" s="60"/>
      <c r="N13" s="75"/>
      <c r="P13" s="42"/>
      <c r="Q13" s="42"/>
      <c r="R13" s="42"/>
      <c r="S13" s="42"/>
      <c r="V13" s="39" t="s">
        <v>152</v>
      </c>
      <c r="W13" s="56" t="s">
        <v>172</v>
      </c>
      <c r="X13" s="56" t="s">
        <v>47</v>
      </c>
      <c r="Y13" s="56" t="s">
        <v>153</v>
      </c>
      <c r="Z13" s="56" t="s">
        <v>173</v>
      </c>
      <c r="AA13" s="56" t="s">
        <v>174</v>
      </c>
      <c r="AB13" s="58" t="s">
        <v>154</v>
      </c>
    </row>
    <row r="14" spans="2:30" ht="16.5" thickBot="1" x14ac:dyDescent="0.3">
      <c r="B14" s="39" t="s">
        <v>242</v>
      </c>
      <c r="C14" s="36">
        <v>1.1000000000000001</v>
      </c>
      <c r="D14" s="33"/>
      <c r="E14" s="65"/>
      <c r="F14" s="66"/>
      <c r="H14" s="52">
        <v>4</v>
      </c>
      <c r="I14" s="35"/>
      <c r="J14" s="60"/>
      <c r="K14" s="75"/>
      <c r="L14" s="109"/>
      <c r="M14" s="60"/>
      <c r="N14" s="75"/>
      <c r="P14" s="151" t="s">
        <v>140</v>
      </c>
      <c r="Q14" s="152"/>
      <c r="R14" s="152"/>
      <c r="S14" s="153"/>
      <c r="V14" s="39">
        <v>1</v>
      </c>
      <c r="W14" s="2">
        <v>26.4</v>
      </c>
      <c r="X14" s="2" t="s">
        <v>241</v>
      </c>
      <c r="Y14" s="35" t="s">
        <v>165</v>
      </c>
      <c r="Z14" s="35">
        <v>500</v>
      </c>
      <c r="AA14" s="35">
        <v>0</v>
      </c>
      <c r="AB14" s="36">
        <v>9900</v>
      </c>
      <c r="AD14" s="1">
        <v>7</v>
      </c>
    </row>
    <row r="15" spans="2:30" x14ac:dyDescent="0.25">
      <c r="B15" s="39" t="s">
        <v>164</v>
      </c>
      <c r="C15" s="36">
        <v>1.1000000000000001</v>
      </c>
      <c r="D15" s="33"/>
      <c r="E15" s="65"/>
      <c r="F15" s="66"/>
      <c r="H15" s="52">
        <v>5</v>
      </c>
      <c r="I15" s="35"/>
      <c r="J15" s="60"/>
      <c r="K15" s="75"/>
      <c r="L15" s="109"/>
      <c r="M15" s="60"/>
      <c r="N15" s="75"/>
      <c r="P15" s="168" t="s">
        <v>141</v>
      </c>
      <c r="Q15" s="69"/>
      <c r="R15" s="69"/>
      <c r="S15" s="66"/>
      <c r="V15" s="39">
        <v>2</v>
      </c>
      <c r="W15" s="2">
        <v>29.7</v>
      </c>
      <c r="X15" s="2" t="s">
        <v>245</v>
      </c>
      <c r="Y15" s="35" t="s">
        <v>165</v>
      </c>
      <c r="Z15" s="35">
        <v>7000</v>
      </c>
      <c r="AA15" s="35">
        <v>500</v>
      </c>
      <c r="AB15" s="36">
        <v>117974.99999999999</v>
      </c>
      <c r="AD15" s="1">
        <v>5</v>
      </c>
    </row>
    <row r="16" spans="2:30" x14ac:dyDescent="0.25">
      <c r="B16" s="39" t="s">
        <v>243</v>
      </c>
      <c r="C16" s="37">
        <v>1.8</v>
      </c>
      <c r="E16" s="65"/>
      <c r="F16" s="66"/>
      <c r="H16" s="52">
        <f>H15+1</f>
        <v>6</v>
      </c>
      <c r="I16" s="35"/>
      <c r="J16" s="60"/>
      <c r="K16" s="75"/>
      <c r="L16" s="108"/>
      <c r="M16" s="60"/>
      <c r="N16" s="75"/>
      <c r="P16" s="169"/>
      <c r="Q16" s="157" t="s">
        <v>249</v>
      </c>
      <c r="R16" s="158"/>
      <c r="S16" s="66"/>
      <c r="V16" s="39">
        <v>3</v>
      </c>
      <c r="W16" s="2">
        <v>29.7</v>
      </c>
      <c r="X16" s="2" t="s">
        <v>241</v>
      </c>
      <c r="Y16" s="35" t="s">
        <v>165</v>
      </c>
      <c r="Z16" s="35">
        <v>8450</v>
      </c>
      <c r="AA16" s="35">
        <v>7000</v>
      </c>
      <c r="AB16" s="36">
        <v>32190</v>
      </c>
      <c r="AD16" s="1">
        <v>9</v>
      </c>
    </row>
    <row r="17" spans="2:30" ht="16.5" thickBot="1" x14ac:dyDescent="0.3">
      <c r="B17" s="40" t="s">
        <v>244</v>
      </c>
      <c r="C17" s="38">
        <v>1.5</v>
      </c>
      <c r="E17" s="67"/>
      <c r="F17" s="68"/>
      <c r="H17" s="52">
        <f>H16+1</f>
        <v>7</v>
      </c>
      <c r="I17" s="35"/>
      <c r="J17" s="60"/>
      <c r="K17" s="75"/>
      <c r="L17" s="108"/>
      <c r="M17" s="60"/>
      <c r="N17" s="75"/>
      <c r="P17" s="169"/>
      <c r="Q17" s="69"/>
      <c r="R17" s="69"/>
      <c r="S17" s="66"/>
      <c r="V17" s="39">
        <v>4</v>
      </c>
      <c r="W17" s="2"/>
      <c r="X17" s="2"/>
      <c r="Y17" s="35"/>
      <c r="Z17" s="35"/>
      <c r="AA17" s="35"/>
      <c r="AB17" s="36"/>
      <c r="AD17" s="1">
        <v>11</v>
      </c>
    </row>
    <row r="18" spans="2:30" ht="16.5" thickBot="1" x14ac:dyDescent="0.3">
      <c r="H18" s="52">
        <f>H17+1</f>
        <v>8</v>
      </c>
      <c r="I18" s="35"/>
      <c r="J18" s="60"/>
      <c r="K18" s="110"/>
      <c r="L18" s="108"/>
      <c r="M18" s="60"/>
      <c r="N18" s="110"/>
      <c r="P18" s="67"/>
      <c r="Q18" s="70"/>
      <c r="R18" s="70"/>
      <c r="S18" s="68"/>
      <c r="V18" s="40" t="s">
        <v>156</v>
      </c>
      <c r="W18" s="136" t="s">
        <v>157</v>
      </c>
      <c r="X18" s="137"/>
      <c r="Y18" s="137"/>
      <c r="Z18" s="137"/>
      <c r="AA18" s="138"/>
      <c r="AB18" s="57">
        <f>SUM(AB14:AB17)</f>
        <v>160065</v>
      </c>
    </row>
    <row r="19" spans="2:30" ht="6" customHeight="1" thickBot="1" x14ac:dyDescent="0.3">
      <c r="H19" s="175"/>
      <c r="I19" s="176"/>
      <c r="J19" s="176"/>
      <c r="K19" s="177"/>
      <c r="L19" s="176"/>
      <c r="M19" s="176"/>
      <c r="N19" s="178"/>
      <c r="P19" s="34"/>
      <c r="Q19" s="34"/>
      <c r="R19" s="34"/>
      <c r="S19" s="34"/>
      <c r="T19" s="34"/>
      <c r="U19" s="50"/>
    </row>
    <row r="20" spans="2:30" ht="15.75" customHeight="1" thickBot="1" x14ac:dyDescent="0.3">
      <c r="B20" s="159" t="s">
        <v>168</v>
      </c>
      <c r="C20" s="160"/>
      <c r="E20" s="154" t="s">
        <v>167</v>
      </c>
      <c r="F20" s="156"/>
      <c r="H20" s="62" t="s">
        <v>170</v>
      </c>
      <c r="J20" s="61"/>
      <c r="K20" s="62"/>
      <c r="L20" s="62"/>
      <c r="M20" s="62"/>
      <c r="N20" s="50"/>
      <c r="P20" s="34"/>
      <c r="R20" s="34"/>
      <c r="S20" s="34"/>
      <c r="T20" s="34"/>
      <c r="U20" s="50"/>
    </row>
    <row r="21" spans="2:30" ht="16.5" customHeight="1" x14ac:dyDescent="0.25">
      <c r="B21" s="39" t="s">
        <v>250</v>
      </c>
      <c r="C21" s="36">
        <v>10100</v>
      </c>
      <c r="E21" s="182" t="s">
        <v>128</v>
      </c>
      <c r="F21" s="183"/>
      <c r="G21" s="77"/>
      <c r="H21" s="61" t="s">
        <v>162</v>
      </c>
      <c r="J21" s="61"/>
      <c r="K21" s="61"/>
      <c r="L21" s="61"/>
      <c r="M21" s="78"/>
      <c r="N21" s="77"/>
      <c r="O21" s="77"/>
      <c r="P21" s="77"/>
      <c r="Q21" s="77"/>
      <c r="R21" s="77"/>
      <c r="S21" s="77"/>
      <c r="V21" s="145" t="s">
        <v>246</v>
      </c>
      <c r="W21" s="146"/>
      <c r="X21" s="146"/>
      <c r="Y21" s="146"/>
      <c r="Z21" s="146"/>
      <c r="AA21" s="146"/>
      <c r="AB21" s="147"/>
    </row>
    <row r="22" spans="2:30" x14ac:dyDescent="0.25">
      <c r="B22" s="39" t="s">
        <v>158</v>
      </c>
      <c r="C22" s="36">
        <v>10203</v>
      </c>
      <c r="E22" s="184"/>
      <c r="F22" s="185"/>
      <c r="H22" s="61" t="s">
        <v>169</v>
      </c>
      <c r="V22" s="39" t="s">
        <v>152</v>
      </c>
      <c r="W22" s="56" t="s">
        <v>172</v>
      </c>
      <c r="X22" s="56" t="s">
        <v>47</v>
      </c>
      <c r="Y22" s="56" t="s">
        <v>153</v>
      </c>
      <c r="Z22" s="56" t="s">
        <v>173</v>
      </c>
      <c r="AA22" s="56" t="s">
        <v>174</v>
      </c>
      <c r="AB22" s="58" t="s">
        <v>154</v>
      </c>
    </row>
    <row r="23" spans="2:30" ht="16.5" thickBot="1" x14ac:dyDescent="0.3">
      <c r="B23" s="39" t="s">
        <v>159</v>
      </c>
      <c r="C23" s="36">
        <v>10321</v>
      </c>
      <c r="E23" s="184"/>
      <c r="F23" s="185"/>
      <c r="P23" s="34"/>
      <c r="Q23" s="34"/>
      <c r="S23" s="34"/>
      <c r="T23" s="34"/>
      <c r="U23" s="50"/>
      <c r="V23" s="39">
        <v>1</v>
      </c>
      <c r="W23" s="2">
        <v>40</v>
      </c>
      <c r="X23" s="2" t="s">
        <v>245</v>
      </c>
      <c r="Y23" s="35" t="s">
        <v>165</v>
      </c>
      <c r="Z23" s="35">
        <v>4800</v>
      </c>
      <c r="AA23" s="35">
        <v>0</v>
      </c>
      <c r="AB23" s="36">
        <v>116351.99999999999</v>
      </c>
    </row>
    <row r="24" spans="2:30" x14ac:dyDescent="0.25">
      <c r="E24" s="184"/>
      <c r="F24" s="185"/>
      <c r="H24" s="148" t="s">
        <v>251</v>
      </c>
      <c r="I24" s="149"/>
      <c r="J24" s="150"/>
      <c r="K24" s="111"/>
      <c r="M24" s="111"/>
      <c r="N24" s="111"/>
      <c r="P24" s="34"/>
      <c r="Q24" s="34"/>
      <c r="S24" s="34"/>
      <c r="T24" s="34"/>
      <c r="U24" s="50"/>
      <c r="V24" s="39">
        <v>2</v>
      </c>
      <c r="W24" s="2"/>
      <c r="X24" s="2"/>
      <c r="Y24" s="35"/>
      <c r="Z24" s="35"/>
      <c r="AA24" s="35"/>
      <c r="AB24" s="36"/>
    </row>
    <row r="25" spans="2:30" x14ac:dyDescent="0.25">
      <c r="E25" s="184"/>
      <c r="F25" s="185"/>
      <c r="H25" s="114" t="s">
        <v>152</v>
      </c>
      <c r="I25" s="115" t="s">
        <v>252</v>
      </c>
      <c r="J25" s="116" t="s">
        <v>0</v>
      </c>
      <c r="P25" s="34"/>
      <c r="Q25" s="34"/>
      <c r="S25" s="34"/>
      <c r="T25" s="34"/>
      <c r="U25" s="50"/>
      <c r="V25" s="39">
        <v>3</v>
      </c>
      <c r="W25" s="2"/>
      <c r="X25" s="2"/>
      <c r="Y25" s="35"/>
      <c r="Z25" s="35"/>
      <c r="AA25" s="35"/>
      <c r="AB25" s="36"/>
    </row>
    <row r="26" spans="2:30" ht="16.5" thickBot="1" x14ac:dyDescent="0.3">
      <c r="E26" s="186"/>
      <c r="F26" s="178"/>
      <c r="H26" s="112">
        <v>1</v>
      </c>
      <c r="I26" s="135">
        <v>20</v>
      </c>
      <c r="J26" s="35">
        <v>1200</v>
      </c>
      <c r="P26" s="34"/>
      <c r="Q26" s="34"/>
      <c r="S26" s="34"/>
      <c r="T26" s="34"/>
      <c r="U26" s="50"/>
      <c r="V26" s="39">
        <v>4</v>
      </c>
      <c r="W26" s="2"/>
      <c r="X26" s="2"/>
      <c r="Y26" s="35"/>
      <c r="Z26" s="35"/>
      <c r="AA26" s="35"/>
      <c r="AB26" s="36"/>
    </row>
    <row r="27" spans="2:30" ht="16.5" thickBot="1" x14ac:dyDescent="0.3">
      <c r="H27" s="112">
        <v>2</v>
      </c>
      <c r="I27" s="135">
        <v>16</v>
      </c>
      <c r="J27" s="35">
        <v>3200</v>
      </c>
      <c r="Q27" s="50"/>
      <c r="S27" s="50"/>
      <c r="T27" s="50"/>
      <c r="U27" s="50"/>
      <c r="V27" s="40" t="s">
        <v>156</v>
      </c>
      <c r="W27" s="136" t="s">
        <v>157</v>
      </c>
      <c r="X27" s="137"/>
      <c r="Y27" s="137"/>
      <c r="Z27" s="137"/>
      <c r="AA27" s="138"/>
      <c r="AB27" s="57">
        <f>SUM(AB23:AB26)</f>
        <v>116351.99999999999</v>
      </c>
    </row>
    <row r="28" spans="2:30" ht="16.5" thickBot="1" x14ac:dyDescent="0.3">
      <c r="H28" s="112">
        <v>3</v>
      </c>
      <c r="I28" s="135">
        <v>13</v>
      </c>
      <c r="J28" s="35">
        <v>4700</v>
      </c>
    </row>
    <row r="29" spans="2:30" ht="16.5" thickBot="1" x14ac:dyDescent="0.3">
      <c r="H29" s="113">
        <v>4</v>
      </c>
      <c r="I29" s="135">
        <v>11</v>
      </c>
      <c r="J29" s="35">
        <v>10800</v>
      </c>
      <c r="V29" s="145" t="s">
        <v>175</v>
      </c>
      <c r="W29" s="146"/>
      <c r="X29" s="146"/>
      <c r="Y29" s="146"/>
      <c r="Z29" s="146"/>
      <c r="AA29" s="146"/>
      <c r="AB29" s="147"/>
    </row>
    <row r="30" spans="2:30" x14ac:dyDescent="0.25">
      <c r="V30" s="39" t="s">
        <v>152</v>
      </c>
      <c r="W30" s="56" t="s">
        <v>172</v>
      </c>
      <c r="X30" s="56" t="s">
        <v>47</v>
      </c>
      <c r="Y30" s="56" t="s">
        <v>153</v>
      </c>
      <c r="Z30" s="56" t="s">
        <v>173</v>
      </c>
      <c r="AA30" s="56" t="s">
        <v>174</v>
      </c>
      <c r="AB30" s="58" t="s">
        <v>154</v>
      </c>
    </row>
    <row r="31" spans="2:30" x14ac:dyDescent="0.25">
      <c r="V31" s="39">
        <v>1</v>
      </c>
      <c r="W31" s="2">
        <v>26.4</v>
      </c>
      <c r="X31" s="2" t="s">
        <v>241</v>
      </c>
      <c r="Y31" s="35" t="s">
        <v>165</v>
      </c>
      <c r="Z31" s="35">
        <v>500</v>
      </c>
      <c r="AA31" s="35">
        <v>0</v>
      </c>
      <c r="AB31" s="36">
        <v>9900</v>
      </c>
    </row>
    <row r="32" spans="2:30" x14ac:dyDescent="0.25">
      <c r="V32" s="39">
        <v>2</v>
      </c>
      <c r="W32" s="2">
        <v>29.7</v>
      </c>
      <c r="X32" s="2" t="s">
        <v>245</v>
      </c>
      <c r="Y32" s="35" t="s">
        <v>165</v>
      </c>
      <c r="Z32" s="35">
        <v>7000</v>
      </c>
      <c r="AA32" s="35">
        <v>500</v>
      </c>
      <c r="AB32" s="36">
        <v>117974.99999999999</v>
      </c>
    </row>
    <row r="33" spans="8:28" x14ac:dyDescent="0.25">
      <c r="H33" s="181" t="s">
        <v>270</v>
      </c>
      <c r="I33" s="181"/>
      <c r="J33" s="181" t="s">
        <v>271</v>
      </c>
      <c r="K33" s="181"/>
      <c r="L33" s="181" t="s">
        <v>272</v>
      </c>
      <c r="M33" s="181"/>
      <c r="V33" s="39">
        <v>3</v>
      </c>
      <c r="W33" s="2">
        <v>29.7</v>
      </c>
      <c r="X33" s="2" t="s">
        <v>241</v>
      </c>
      <c r="Y33" s="35" t="s">
        <v>165</v>
      </c>
      <c r="Z33" s="35">
        <v>8450</v>
      </c>
      <c r="AA33" s="35">
        <v>7000</v>
      </c>
      <c r="AB33" s="36">
        <v>32190</v>
      </c>
    </row>
    <row r="34" spans="8:28" x14ac:dyDescent="0.25">
      <c r="H34" s="35" t="s">
        <v>273</v>
      </c>
      <c r="I34" s="35" t="s">
        <v>274</v>
      </c>
      <c r="J34" s="35" t="s">
        <v>273</v>
      </c>
      <c r="K34" s="35" t="s">
        <v>274</v>
      </c>
      <c r="L34" s="35" t="s">
        <v>273</v>
      </c>
      <c r="M34" s="35" t="s">
        <v>274</v>
      </c>
      <c r="R34" s="53"/>
      <c r="V34" s="39">
        <v>4</v>
      </c>
      <c r="W34" s="2"/>
      <c r="X34" s="2"/>
      <c r="Y34" s="35"/>
      <c r="Z34" s="35"/>
      <c r="AA34" s="35"/>
      <c r="AB34" s="36"/>
    </row>
    <row r="35" spans="8:28" ht="16.5" thickBot="1" x14ac:dyDescent="0.3">
      <c r="H35" s="35">
        <v>11</v>
      </c>
      <c r="I35" s="35">
        <v>4800</v>
      </c>
      <c r="J35" s="35">
        <v>7</v>
      </c>
      <c r="K35" s="35">
        <v>500</v>
      </c>
      <c r="L35" s="135">
        <v>20</v>
      </c>
      <c r="M35" s="35">
        <v>1200</v>
      </c>
      <c r="V35" s="40" t="s">
        <v>156</v>
      </c>
      <c r="W35" s="136" t="s">
        <v>157</v>
      </c>
      <c r="X35" s="137"/>
      <c r="Y35" s="137"/>
      <c r="Z35" s="137"/>
      <c r="AA35" s="138"/>
      <c r="AB35" s="57">
        <f>SUM(AB31:AB34)</f>
        <v>160065</v>
      </c>
    </row>
    <row r="36" spans="8:28" ht="16.5" thickBot="1" x14ac:dyDescent="0.3">
      <c r="H36" s="35"/>
      <c r="I36" s="35"/>
      <c r="J36" s="35">
        <v>5</v>
      </c>
      <c r="K36" s="35">
        <v>7000</v>
      </c>
      <c r="L36" s="135">
        <v>16</v>
      </c>
      <c r="M36" s="35">
        <v>3200</v>
      </c>
    </row>
    <row r="37" spans="8:28" x14ac:dyDescent="0.25">
      <c r="H37" s="35"/>
      <c r="I37" s="35"/>
      <c r="J37" s="35">
        <v>9</v>
      </c>
      <c r="K37" s="35">
        <v>8450</v>
      </c>
      <c r="L37" s="135">
        <v>13</v>
      </c>
      <c r="M37" s="35">
        <v>4700</v>
      </c>
      <c r="V37" s="145" t="s">
        <v>247</v>
      </c>
      <c r="W37" s="146"/>
      <c r="X37" s="146"/>
      <c r="Y37" s="146"/>
      <c r="Z37" s="146"/>
      <c r="AA37" s="146"/>
      <c r="AB37" s="147"/>
    </row>
    <row r="38" spans="8:28" x14ac:dyDescent="0.25">
      <c r="H38" s="35"/>
      <c r="I38" s="35"/>
      <c r="J38" s="35"/>
      <c r="K38" s="35"/>
      <c r="L38" s="135">
        <v>11</v>
      </c>
      <c r="M38" s="35">
        <v>10800</v>
      </c>
      <c r="V38" s="39" t="s">
        <v>152</v>
      </c>
      <c r="W38" s="56" t="s">
        <v>172</v>
      </c>
      <c r="X38" s="56" t="s">
        <v>47</v>
      </c>
      <c r="Y38" s="56" t="s">
        <v>153</v>
      </c>
      <c r="Z38" s="56" t="s">
        <v>173</v>
      </c>
      <c r="AA38" s="56" t="s">
        <v>174</v>
      </c>
      <c r="AB38" s="58" t="s">
        <v>154</v>
      </c>
    </row>
    <row r="39" spans="8:28" x14ac:dyDescent="0.25">
      <c r="V39" s="39">
        <v>1</v>
      </c>
      <c r="W39" s="2">
        <v>11.6</v>
      </c>
      <c r="X39" s="2" t="s">
        <v>248</v>
      </c>
      <c r="Y39" s="35" t="s">
        <v>165</v>
      </c>
      <c r="Z39" s="35">
        <v>1200</v>
      </c>
      <c r="AA39" s="35">
        <v>0</v>
      </c>
      <c r="AB39" s="36">
        <v>14640</v>
      </c>
    </row>
    <row r="40" spans="8:28" x14ac:dyDescent="0.25">
      <c r="V40" s="39">
        <v>2</v>
      </c>
      <c r="W40" s="2">
        <v>13.5</v>
      </c>
      <c r="X40" s="2" t="s">
        <v>241</v>
      </c>
      <c r="Y40" s="35" t="s">
        <v>165</v>
      </c>
      <c r="Z40" s="35">
        <v>3200</v>
      </c>
      <c r="AA40" s="35">
        <v>1200</v>
      </c>
      <c r="AB40" s="36">
        <v>20840</v>
      </c>
    </row>
    <row r="41" spans="8:28" x14ac:dyDescent="0.25">
      <c r="V41" s="39">
        <v>3</v>
      </c>
      <c r="W41" s="2">
        <v>11.6</v>
      </c>
      <c r="X41" s="2" t="s">
        <v>241</v>
      </c>
      <c r="Y41" s="35" t="s">
        <v>165</v>
      </c>
      <c r="Z41" s="35">
        <v>4700</v>
      </c>
      <c r="AA41" s="35">
        <v>3200</v>
      </c>
      <c r="AB41" s="36">
        <v>13559.999999999998</v>
      </c>
    </row>
    <row r="42" spans="8:28" x14ac:dyDescent="0.25">
      <c r="V42" s="39">
        <v>4</v>
      </c>
      <c r="W42" s="2">
        <v>13.5</v>
      </c>
      <c r="X42" s="2" t="s">
        <v>245</v>
      </c>
      <c r="Y42" s="35" t="s">
        <v>165</v>
      </c>
      <c r="Z42" s="35">
        <v>10800</v>
      </c>
      <c r="AA42" s="35">
        <v>4700</v>
      </c>
      <c r="AB42" s="36">
        <v>52338</v>
      </c>
    </row>
    <row r="43" spans="8:28" ht="16.5" thickBot="1" x14ac:dyDescent="0.3">
      <c r="V43" s="40" t="s">
        <v>156</v>
      </c>
      <c r="W43" s="136" t="s">
        <v>157</v>
      </c>
      <c r="X43" s="137"/>
      <c r="Y43" s="137"/>
      <c r="Z43" s="137"/>
      <c r="AA43" s="138"/>
      <c r="AB43" s="57">
        <f>SUM(AB39:AB42)</f>
        <v>101378</v>
      </c>
    </row>
    <row r="44" spans="8:28" ht="16.5" thickBot="1" x14ac:dyDescent="0.3"/>
    <row r="45" spans="8:28" ht="16.5" thickBot="1" x14ac:dyDescent="0.3">
      <c r="AA45" s="117" t="s">
        <v>253</v>
      </c>
      <c r="AB45" s="118">
        <f>SUM(AB43,AB35,AB27)</f>
        <v>377795</v>
      </c>
    </row>
    <row r="47" spans="8:28" x14ac:dyDescent="0.25">
      <c r="R47" s="53"/>
    </row>
    <row r="48" spans="8:28" x14ac:dyDescent="0.25">
      <c r="R48" s="53"/>
    </row>
    <row r="49" spans="18:18" x14ac:dyDescent="0.25">
      <c r="R49" s="53"/>
    </row>
    <row r="50" spans="18:18" x14ac:dyDescent="0.25">
      <c r="R50" s="53"/>
    </row>
    <row r="69" spans="18:18" x14ac:dyDescent="0.25">
      <c r="R69" s="53">
        <v>4</v>
      </c>
    </row>
    <row r="70" spans="18:18" x14ac:dyDescent="0.25">
      <c r="R70" s="53"/>
    </row>
    <row r="71" spans="18:18" x14ac:dyDescent="0.25">
      <c r="R71" s="53"/>
    </row>
    <row r="72" spans="18:18" x14ac:dyDescent="0.25">
      <c r="R72" s="53"/>
    </row>
    <row r="73" spans="18:18" x14ac:dyDescent="0.25">
      <c r="R73" s="53"/>
    </row>
    <row r="74" spans="18:18" x14ac:dyDescent="0.25">
      <c r="R74" s="53" t="b">
        <v>1</v>
      </c>
    </row>
    <row r="75" spans="18:18" x14ac:dyDescent="0.25">
      <c r="R75" s="54">
        <f>IF(R11 = R74, 1, 0)</f>
        <v>0</v>
      </c>
    </row>
    <row r="76" spans="18:18" x14ac:dyDescent="0.25">
      <c r="R76" s="53"/>
    </row>
    <row r="77" spans="18:18" x14ac:dyDescent="0.25">
      <c r="R77" s="53" t="b">
        <v>0</v>
      </c>
    </row>
    <row r="78" spans="18:18" x14ac:dyDescent="0.25">
      <c r="R78" s="53" t="b">
        <v>1</v>
      </c>
    </row>
    <row r="79" spans="18:18" x14ac:dyDescent="0.25">
      <c r="R79" s="53">
        <f>IF(R78=R77,1,0)</f>
        <v>0</v>
      </c>
    </row>
  </sheetData>
  <mergeCells count="35">
    <mergeCell ref="H33:I33"/>
    <mergeCell ref="J33:K33"/>
    <mergeCell ref="L33:M33"/>
    <mergeCell ref="E20:F20"/>
    <mergeCell ref="E21:F26"/>
    <mergeCell ref="B20:C20"/>
    <mergeCell ref="V12:AB12"/>
    <mergeCell ref="V4:AB4"/>
    <mergeCell ref="V6:AB6"/>
    <mergeCell ref="H19:N19"/>
    <mergeCell ref="I9:J9"/>
    <mergeCell ref="I8:J8"/>
    <mergeCell ref="L8:M8"/>
    <mergeCell ref="L9:M9"/>
    <mergeCell ref="V21:AB21"/>
    <mergeCell ref="H24:J24"/>
    <mergeCell ref="B2:AB2"/>
    <mergeCell ref="W18:AA18"/>
    <mergeCell ref="P8:S8"/>
    <mergeCell ref="P14:S14"/>
    <mergeCell ref="Q16:R16"/>
    <mergeCell ref="B4:C4"/>
    <mergeCell ref="B13:C13"/>
    <mergeCell ref="M7:N7"/>
    <mergeCell ref="H6:N6"/>
    <mergeCell ref="E6:F6"/>
    <mergeCell ref="P6:S6"/>
    <mergeCell ref="P15:P17"/>
    <mergeCell ref="E4:S4"/>
    <mergeCell ref="V8:W8"/>
    <mergeCell ref="W27:AA27"/>
    <mergeCell ref="V29:AB29"/>
    <mergeCell ref="W35:AA35"/>
    <mergeCell ref="V37:AB37"/>
    <mergeCell ref="W43:AA43"/>
  </mergeCells>
  <conditionalFormatting sqref="C8">
    <cfRule type="cellIs" dxfId="5" priority="5" operator="notBetween">
      <formula>1</formula>
      <formula>"MIN($C$9,4)"</formula>
    </cfRule>
  </conditionalFormatting>
  <conditionalFormatting sqref="C9">
    <cfRule type="cellIs" dxfId="4" priority="4" operator="notBetween">
      <formula>MAX($C$8,1)</formula>
      <formula>4</formula>
    </cfRule>
  </conditionalFormatting>
  <conditionalFormatting sqref="L7">
    <cfRule type="expression" dxfId="3" priority="24">
      <formula>R79 = 0</formula>
    </cfRule>
  </conditionalFormatting>
  <conditionalFormatting sqref="M11 L12 L12:M18">
    <cfRule type="expression" dxfId="2" priority="25">
      <formula>$R$75= 1</formula>
    </cfRule>
  </conditionalFormatting>
  <conditionalFormatting sqref="Q16:R16">
    <cfRule type="cellIs" dxfId="1" priority="28" operator="equal">
      <formula>$AA$17</formula>
    </cfRule>
    <cfRule type="cellIs" dxfId="0" priority="29" operator="equal">
      <formula>" 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45" r:id="rId4" name="CheckBoxLeaky">
          <controlPr defaultSize="0" autoLine="0" r:id="rId5">
            <anchor moveWithCells="1">
              <from>
                <xdr:col>16</xdr:col>
                <xdr:colOff>228600</xdr:colOff>
                <xdr:row>8</xdr:row>
                <xdr:rowOff>47625</xdr:rowOff>
              </from>
              <to>
                <xdr:col>18</xdr:col>
                <xdr:colOff>38100</xdr:colOff>
                <xdr:row>9</xdr:row>
                <xdr:rowOff>66675</xdr:rowOff>
              </to>
            </anchor>
          </controlPr>
        </control>
      </mc:Choice>
      <mc:Fallback>
        <control shapeId="9245" r:id="rId4" name="CheckBoxLeaky"/>
      </mc:Fallback>
    </mc:AlternateContent>
    <mc:AlternateContent xmlns:mc="http://schemas.openxmlformats.org/markup-compatibility/2006">
      <mc:Choice Requires="x14">
        <control shapeId="9240" r:id="rId6" name="CheckBoxClosedEnd">
          <controlPr defaultSize="0" autoLine="0" r:id="rId7">
            <anchor moveWithCells="1">
              <from>
                <xdr:col>16</xdr:col>
                <xdr:colOff>228600</xdr:colOff>
                <xdr:row>10</xdr:row>
                <xdr:rowOff>133350</xdr:rowOff>
              </from>
              <to>
                <xdr:col>17</xdr:col>
                <xdr:colOff>838200</xdr:colOff>
                <xdr:row>11</xdr:row>
                <xdr:rowOff>133350</xdr:rowOff>
              </to>
            </anchor>
          </controlPr>
        </control>
      </mc:Choice>
      <mc:Fallback>
        <control shapeId="9240" r:id="rId6" name="CheckBoxClosedEnd"/>
      </mc:Fallback>
    </mc:AlternateContent>
    <mc:AlternateContent xmlns:mc="http://schemas.openxmlformats.org/markup-compatibility/2006">
      <mc:Choice Requires="x14">
        <control shapeId="9230" r:id="rId8" name="DesignList">
          <controlPr defaultSize="0" autoLine="0" autoPict="0" r:id="rId9">
            <anchor>
              <from>
                <xdr:col>4</xdr:col>
                <xdr:colOff>66675</xdr:colOff>
                <xdr:row>6</xdr:row>
                <xdr:rowOff>66675</xdr:rowOff>
              </from>
              <to>
                <xdr:col>8</xdr:col>
                <xdr:colOff>352425</xdr:colOff>
                <xdr:row>13</xdr:row>
                <xdr:rowOff>19050</xdr:rowOff>
              </to>
            </anchor>
          </controlPr>
        </control>
      </mc:Choice>
      <mc:Fallback>
        <control shapeId="9230" r:id="rId8" name="DesignList"/>
      </mc:Fallback>
    </mc:AlternateContent>
    <mc:AlternateContent xmlns:mc="http://schemas.openxmlformats.org/markup-compatibility/2006">
      <mc:Choice Requires="x14">
        <control shapeId="9232" r:id="rId10" name="CheckBoxCollapse">
          <controlPr defaultSize="0" autoLine="0" r:id="rId11">
            <anchor moveWithCells="1">
              <from>
                <xdr:col>15</xdr:col>
                <xdr:colOff>85725</xdr:colOff>
                <xdr:row>8</xdr:row>
                <xdr:rowOff>57150</xdr:rowOff>
              </from>
              <to>
                <xdr:col>16</xdr:col>
                <xdr:colOff>95250</xdr:colOff>
                <xdr:row>9</xdr:row>
                <xdr:rowOff>76200</xdr:rowOff>
              </to>
            </anchor>
          </controlPr>
        </control>
      </mc:Choice>
      <mc:Fallback>
        <control shapeId="9232" r:id="rId10" name="CheckBoxCollapse"/>
      </mc:Fallback>
    </mc:AlternateContent>
    <mc:AlternateContent xmlns:mc="http://schemas.openxmlformats.org/markup-compatibility/2006">
      <mc:Choice Requires="x14">
        <control shapeId="9233" r:id="rId12" name="CheckBoxBurst">
          <controlPr defaultSize="0" autoLine="0" r:id="rId13">
            <anchor moveWithCells="1">
              <from>
                <xdr:col>15</xdr:col>
                <xdr:colOff>85725</xdr:colOff>
                <xdr:row>9</xdr:row>
                <xdr:rowOff>85725</xdr:rowOff>
              </from>
              <to>
                <xdr:col>16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9233" r:id="rId12" name="CheckBoxBurst"/>
      </mc:Fallback>
    </mc:AlternateContent>
    <mc:AlternateContent xmlns:mc="http://schemas.openxmlformats.org/markup-compatibility/2006">
      <mc:Choice Requires="x14">
        <control shapeId="9234" r:id="rId14" name="CheckBoxTensile">
          <controlPr defaultSize="0" autoLine="0" linkedCell="R77" r:id="rId15">
            <anchor moveWithCells="1">
              <from>
                <xdr:col>15</xdr:col>
                <xdr:colOff>85725</xdr:colOff>
                <xdr:row>10</xdr:row>
                <xdr:rowOff>123825</xdr:rowOff>
              </from>
              <to>
                <xdr:col>16</xdr:col>
                <xdr:colOff>95250</xdr:colOff>
                <xdr:row>11</xdr:row>
                <xdr:rowOff>133350</xdr:rowOff>
              </to>
            </anchor>
          </controlPr>
        </control>
      </mc:Choice>
      <mc:Fallback>
        <control shapeId="9234" r:id="rId14" name="CheckBoxTensile"/>
      </mc:Fallback>
    </mc:AlternateContent>
    <mc:AlternateContent xmlns:mc="http://schemas.openxmlformats.org/markup-compatibility/2006">
      <mc:Choice Requires="x14">
        <control shapeId="9236" r:id="rId16" name="CheckBoxGas">
          <controlPr defaultSize="0" autoLine="0" linkedCell="R11" r:id="rId17">
            <anchor moveWithCells="1">
              <from>
                <xdr:col>16</xdr:col>
                <xdr:colOff>228600</xdr:colOff>
                <xdr:row>9</xdr:row>
                <xdr:rowOff>47625</xdr:rowOff>
              </from>
              <to>
                <xdr:col>18</xdr:col>
                <xdr:colOff>66675</xdr:colOff>
                <xdr:row>10</xdr:row>
                <xdr:rowOff>142875</xdr:rowOff>
              </to>
            </anchor>
          </controlPr>
        </control>
      </mc:Choice>
      <mc:Fallback>
        <control shapeId="9236" r:id="rId16" name="CheckBoxGas"/>
      </mc:Fallback>
    </mc:AlternateContent>
    <mc:AlternateContent xmlns:mc="http://schemas.openxmlformats.org/markup-compatibility/2006">
      <mc:Choice Requires="x14">
        <control shapeId="9220" r:id="rId18" name="Button 4">
          <controlPr defaultSize="0" print="0" autoFill="0" autoPict="0" macro="[0]!LoadScenario">
            <anchor moveWithCells="1" sizeWithCells="1">
              <from>
                <xdr:col>4</xdr:col>
                <xdr:colOff>866775</xdr:colOff>
                <xdr:row>15</xdr:row>
                <xdr:rowOff>28575</xdr:rowOff>
              </from>
              <to>
                <xdr:col>5</xdr:col>
                <xdr:colOff>533400</xdr:colOff>
                <xdr:row>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19" name="Button 5">
          <controlPr defaultSize="0" print="0" autoFill="0" autoPict="0" macro="[0]!RemoveScenario">
            <anchor moveWithCells="1" sizeWithCells="1">
              <from>
                <xdr:col>4</xdr:col>
                <xdr:colOff>95250</xdr:colOff>
                <xdr:row>15</xdr:row>
                <xdr:rowOff>28575</xdr:rowOff>
              </from>
              <to>
                <xdr:col>4</xdr:col>
                <xdr:colOff>790575</xdr:colOff>
                <xdr:row>16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20" name="Button 10">
          <controlPr defaultSize="0" print="0" autoFill="0" autoPict="0" macro="[0]!SaveAndApply">
            <anchor moveWithCells="1" sizeWithCells="1">
              <from>
                <xdr:col>16</xdr:col>
                <xdr:colOff>114300</xdr:colOff>
                <xdr:row>16</xdr:row>
                <xdr:rowOff>85725</xdr:rowOff>
              </from>
              <to>
                <xdr:col>18</xdr:col>
                <xdr:colOff>9525</xdr:colOff>
                <xdr:row>17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7" r:id="rId21" name="Button 21">
          <controlPr defaultSize="0" print="0" autoFill="0" autoPict="0" macro="[0]!SolveSurfaceString">
            <anchor moveWithCells="1" sizeWithCells="1">
              <from>
                <xdr:col>21</xdr:col>
                <xdr:colOff>142875</xdr:colOff>
                <xdr:row>7</xdr:row>
                <xdr:rowOff>95250</xdr:rowOff>
              </from>
              <to>
                <xdr:col>22</xdr:col>
                <xdr:colOff>838200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1" r:id="rId22" name="Button 25">
          <controlPr defaultSize="0" print="0" autoFill="0" autoPict="0" macro="[0]!StandardSurface">
            <anchor moveWithCells="1" sizeWithCells="1">
              <from>
                <xdr:col>4</xdr:col>
                <xdr:colOff>400050</xdr:colOff>
                <xdr:row>20</xdr:row>
                <xdr:rowOff>104775</xdr:rowOff>
              </from>
              <to>
                <xdr:col>5</xdr:col>
                <xdr:colOff>371475</xdr:colOff>
                <xdr:row>21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2" r:id="rId23" name="Button 26">
          <controlPr defaultSize="0" print="0" autoFill="0" autoPict="0" macro="[0]!StandardIntermediate">
            <anchor moveWithCells="1" sizeWithCells="1">
              <from>
                <xdr:col>4</xdr:col>
                <xdr:colOff>400050</xdr:colOff>
                <xdr:row>22</xdr:row>
                <xdr:rowOff>47625</xdr:rowOff>
              </from>
              <to>
                <xdr:col>5</xdr:col>
                <xdr:colOff>371475</xdr:colOff>
                <xdr:row>23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3" r:id="rId24" name="Button 27">
          <controlPr defaultSize="0" print="0" autoFill="0" autoPict="0" macro="[0]!StandardProduction">
            <anchor moveWithCells="1" sizeWithCells="1">
              <from>
                <xdr:col>4</xdr:col>
                <xdr:colOff>381000</xdr:colOff>
                <xdr:row>24</xdr:row>
                <xdr:rowOff>38100</xdr:rowOff>
              </from>
              <to>
                <xdr:col>5</xdr:col>
                <xdr:colOff>352425</xdr:colOff>
                <xdr:row>25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6" r:id="rId25" name="Button 30">
          <controlPr defaultSize="0" print="0" autoFill="0" autoPict="0" macro="[0]!_xludf.Clear">
            <anchor moveWithCells="1" sizeWithCells="1">
              <from>
                <xdr:col>4</xdr:col>
                <xdr:colOff>95250</xdr:colOff>
                <xdr:row>13</xdr:row>
                <xdr:rowOff>142875</xdr:rowOff>
              </from>
              <to>
                <xdr:col>4</xdr:col>
                <xdr:colOff>762000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7" r:id="rId26" name="Button 31">
          <controlPr defaultSize="0" print="0" autoFill="0" autoPict="0" macro="[0]!ReviewCasing">
            <anchor moveWithCells="1" sizeWithCells="1">
              <from>
                <xdr:col>7</xdr:col>
                <xdr:colOff>523875</xdr:colOff>
                <xdr:row>29</xdr:row>
                <xdr:rowOff>85725</xdr:rowOff>
              </from>
              <to>
                <xdr:col>9</xdr:col>
                <xdr:colOff>114300</xdr:colOff>
                <xdr:row>31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7"/>
  <sheetViews>
    <sheetView zoomScale="85" zoomScaleNormal="85" workbookViewId="0">
      <selection activeCell="B41" sqref="B41"/>
    </sheetView>
  </sheetViews>
  <sheetFormatPr defaultRowHeight="15.75" x14ac:dyDescent="0.25"/>
  <sheetData>
    <row r="1" spans="1:17" ht="30" customHeight="1" x14ac:dyDescent="0.25">
      <c r="A1" s="187" t="s">
        <v>108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9"/>
    </row>
    <row r="2" spans="1:17" ht="24" x14ac:dyDescent="0.25">
      <c r="A2" s="79" t="s">
        <v>105</v>
      </c>
      <c r="B2" s="81" t="s">
        <v>2</v>
      </c>
      <c r="C2" s="81" t="s">
        <v>106</v>
      </c>
      <c r="D2" s="81" t="s">
        <v>47</v>
      </c>
      <c r="E2" s="81" t="s">
        <v>3</v>
      </c>
      <c r="F2" s="81" t="s">
        <v>107</v>
      </c>
      <c r="G2" s="81" t="s">
        <v>1</v>
      </c>
      <c r="H2" s="79" t="s">
        <v>48</v>
      </c>
      <c r="I2" s="79" t="s">
        <v>49</v>
      </c>
      <c r="J2" s="79" t="s">
        <v>50</v>
      </c>
      <c r="K2" s="6" t="s">
        <v>60</v>
      </c>
      <c r="L2" s="6" t="s">
        <v>61</v>
      </c>
      <c r="M2" s="80" t="s">
        <v>62</v>
      </c>
      <c r="N2" s="7" t="s">
        <v>63</v>
      </c>
      <c r="O2" s="80" t="s">
        <v>64</v>
      </c>
      <c r="P2" s="15" t="s">
        <v>109</v>
      </c>
      <c r="Q2" s="80" t="s">
        <v>104</v>
      </c>
    </row>
    <row r="3" spans="1:17" x14ac:dyDescent="0.25">
      <c r="A3" s="5">
        <v>1</v>
      </c>
      <c r="B3" s="8">
        <v>9.625</v>
      </c>
      <c r="C3" s="9">
        <v>36</v>
      </c>
      <c r="D3" s="7" t="s">
        <v>52</v>
      </c>
      <c r="E3" s="10">
        <v>55</v>
      </c>
      <c r="F3" s="7" t="s">
        <v>57</v>
      </c>
      <c r="G3" s="8">
        <v>8.9209999999999994</v>
      </c>
      <c r="H3" s="11">
        <v>0.35199999999999998</v>
      </c>
      <c r="I3" s="11">
        <v>27.344000000000001</v>
      </c>
      <c r="J3" s="11">
        <v>10.254</v>
      </c>
      <c r="K3" s="12">
        <v>2020</v>
      </c>
      <c r="L3" s="12">
        <v>3520</v>
      </c>
      <c r="M3" s="5">
        <v>564000</v>
      </c>
      <c r="N3" s="10">
        <v>423000</v>
      </c>
      <c r="O3" s="13" t="s">
        <v>65</v>
      </c>
      <c r="P3" s="14" t="s">
        <v>70</v>
      </c>
      <c r="Q3" s="11">
        <v>8.7650000000000006</v>
      </c>
    </row>
    <row r="4" spans="1:17" x14ac:dyDescent="0.25">
      <c r="A4" s="5">
        <v>2</v>
      </c>
      <c r="B4" s="8">
        <v>9.625</v>
      </c>
      <c r="C4" s="9">
        <v>36</v>
      </c>
      <c r="D4" s="7" t="s">
        <v>52</v>
      </c>
      <c r="E4" s="10">
        <v>55</v>
      </c>
      <c r="F4" s="7" t="s">
        <v>58</v>
      </c>
      <c r="G4" s="8">
        <v>8.9209999999999994</v>
      </c>
      <c r="H4" s="11">
        <v>0.35199999999999998</v>
      </c>
      <c r="I4" s="11">
        <v>27.344000000000001</v>
      </c>
      <c r="J4" s="11">
        <v>10.254</v>
      </c>
      <c r="K4" s="12">
        <v>2020</v>
      </c>
      <c r="L4" s="12">
        <v>3520</v>
      </c>
      <c r="M4" s="5">
        <v>564000</v>
      </c>
      <c r="N4" s="10">
        <v>489000</v>
      </c>
      <c r="O4" s="13" t="s">
        <v>65</v>
      </c>
      <c r="P4" s="14" t="s">
        <v>71</v>
      </c>
      <c r="Q4" s="11">
        <v>8.7650000000000006</v>
      </c>
    </row>
    <row r="5" spans="1:17" x14ac:dyDescent="0.25">
      <c r="A5" s="5">
        <v>3</v>
      </c>
      <c r="B5" s="8">
        <v>9.625</v>
      </c>
      <c r="C5" s="9">
        <v>36</v>
      </c>
      <c r="D5" s="7" t="s">
        <v>52</v>
      </c>
      <c r="E5" s="10">
        <v>55</v>
      </c>
      <c r="F5" s="7" t="s">
        <v>59</v>
      </c>
      <c r="G5" s="8">
        <v>8.9209999999999994</v>
      </c>
      <c r="H5" s="11">
        <v>0.35199999999999998</v>
      </c>
      <c r="I5" s="11">
        <v>27.344000000000001</v>
      </c>
      <c r="J5" s="11">
        <v>10.254</v>
      </c>
      <c r="K5" s="12">
        <v>2020</v>
      </c>
      <c r="L5" s="12">
        <v>3520</v>
      </c>
      <c r="M5" s="5">
        <v>564000</v>
      </c>
      <c r="N5" s="10">
        <v>755000</v>
      </c>
      <c r="O5" s="13" t="s">
        <v>65</v>
      </c>
      <c r="P5" s="14" t="s">
        <v>72</v>
      </c>
      <c r="Q5" s="11">
        <v>8.7650000000000006</v>
      </c>
    </row>
    <row r="6" spans="1:17" x14ac:dyDescent="0.25">
      <c r="A6" s="5">
        <v>4</v>
      </c>
      <c r="B6" s="8">
        <v>9.625</v>
      </c>
      <c r="C6" s="9">
        <v>40</v>
      </c>
      <c r="D6" s="7" t="s">
        <v>52</v>
      </c>
      <c r="E6" s="10">
        <v>55</v>
      </c>
      <c r="F6" s="7" t="s">
        <v>57</v>
      </c>
      <c r="G6" s="8">
        <v>8.8350000000000009</v>
      </c>
      <c r="H6" s="11">
        <v>0.39500000000000002</v>
      </c>
      <c r="I6" s="11">
        <v>24.367000000000001</v>
      </c>
      <c r="J6" s="11">
        <v>11.454000000000001</v>
      </c>
      <c r="K6" s="12">
        <v>2570</v>
      </c>
      <c r="L6" s="12">
        <v>3950</v>
      </c>
      <c r="M6" s="5">
        <v>630000</v>
      </c>
      <c r="N6" s="10">
        <v>486000</v>
      </c>
      <c r="O6" s="13" t="s">
        <v>65</v>
      </c>
      <c r="P6" s="14" t="s">
        <v>73</v>
      </c>
      <c r="Q6" s="11">
        <v>8.6790000000000003</v>
      </c>
    </row>
    <row r="7" spans="1:17" x14ac:dyDescent="0.25">
      <c r="A7" s="5">
        <v>5</v>
      </c>
      <c r="B7" s="8">
        <v>9.625</v>
      </c>
      <c r="C7" s="9">
        <v>40</v>
      </c>
      <c r="D7" s="7" t="s">
        <v>52</v>
      </c>
      <c r="E7" s="10">
        <v>55</v>
      </c>
      <c r="F7" s="7" t="s">
        <v>58</v>
      </c>
      <c r="G7" s="8">
        <v>8.8350000000000009</v>
      </c>
      <c r="H7" s="11">
        <v>0.39500000000000002</v>
      </c>
      <c r="I7" s="11">
        <v>24.367000000000001</v>
      </c>
      <c r="J7" s="11">
        <v>11.454000000000001</v>
      </c>
      <c r="K7" s="12">
        <v>2570</v>
      </c>
      <c r="L7" s="12">
        <v>3950</v>
      </c>
      <c r="M7" s="5">
        <v>630000</v>
      </c>
      <c r="N7" s="10">
        <v>561000</v>
      </c>
      <c r="O7" s="13" t="s">
        <v>65</v>
      </c>
      <c r="P7" s="14" t="s">
        <v>74</v>
      </c>
      <c r="Q7" s="11">
        <v>8.6790000000000003</v>
      </c>
    </row>
    <row r="8" spans="1:17" x14ac:dyDescent="0.25">
      <c r="A8" s="5">
        <v>6</v>
      </c>
      <c r="B8" s="8">
        <v>9.625</v>
      </c>
      <c r="C8" s="9">
        <v>40</v>
      </c>
      <c r="D8" s="7" t="s">
        <v>52</v>
      </c>
      <c r="E8" s="10">
        <v>55</v>
      </c>
      <c r="F8" s="7" t="s">
        <v>59</v>
      </c>
      <c r="G8" s="8">
        <v>8.8350000000000009</v>
      </c>
      <c r="H8" s="11">
        <v>0.39500000000000002</v>
      </c>
      <c r="I8" s="11">
        <v>24.367000000000001</v>
      </c>
      <c r="J8" s="11">
        <v>11.454000000000001</v>
      </c>
      <c r="K8" s="12">
        <v>2570</v>
      </c>
      <c r="L8" s="12">
        <v>3950</v>
      </c>
      <c r="M8" s="5">
        <v>630000</v>
      </c>
      <c r="N8" s="10">
        <v>843000</v>
      </c>
      <c r="O8" s="13" t="s">
        <v>65</v>
      </c>
      <c r="P8" s="14" t="s">
        <v>75</v>
      </c>
      <c r="Q8" s="11">
        <v>8.6790000000000003</v>
      </c>
    </row>
    <row r="9" spans="1:17" x14ac:dyDescent="0.25">
      <c r="A9" s="5">
        <v>7</v>
      </c>
      <c r="B9" s="8">
        <v>9.625</v>
      </c>
      <c r="C9" s="9">
        <v>36</v>
      </c>
      <c r="D9" s="7" t="s">
        <v>53</v>
      </c>
      <c r="E9" s="10">
        <v>65</v>
      </c>
      <c r="F9" s="7" t="s">
        <v>57</v>
      </c>
      <c r="G9" s="8">
        <v>8.9209999999999994</v>
      </c>
      <c r="H9" s="11">
        <v>0.35199999999999998</v>
      </c>
      <c r="I9" s="11">
        <v>27.344000000000001</v>
      </c>
      <c r="J9" s="11">
        <v>10.254</v>
      </c>
      <c r="K9" s="12">
        <v>2190</v>
      </c>
      <c r="L9" s="12">
        <v>4160</v>
      </c>
      <c r="M9" s="5">
        <v>667000</v>
      </c>
      <c r="N9" s="10">
        <v>460000</v>
      </c>
      <c r="O9" s="13" t="s">
        <v>66</v>
      </c>
      <c r="P9" s="14" t="s">
        <v>76</v>
      </c>
      <c r="Q9" s="11">
        <v>8.7650000000000006</v>
      </c>
    </row>
    <row r="10" spans="1:17" x14ac:dyDescent="0.25">
      <c r="A10" s="5">
        <v>8</v>
      </c>
      <c r="B10" s="8">
        <v>9.625</v>
      </c>
      <c r="C10" s="9">
        <v>36</v>
      </c>
      <c r="D10" s="7" t="s">
        <v>53</v>
      </c>
      <c r="E10" s="10">
        <v>65</v>
      </c>
      <c r="F10" s="7" t="s">
        <v>58</v>
      </c>
      <c r="G10" s="8">
        <v>8.9209999999999994</v>
      </c>
      <c r="H10" s="11">
        <v>0.35199999999999998</v>
      </c>
      <c r="I10" s="11">
        <v>27.344000000000001</v>
      </c>
      <c r="J10" s="11">
        <v>10.254</v>
      </c>
      <c r="K10" s="12">
        <v>2190</v>
      </c>
      <c r="L10" s="12">
        <v>4160</v>
      </c>
      <c r="M10" s="5">
        <v>667000</v>
      </c>
      <c r="N10" s="10">
        <v>529000</v>
      </c>
      <c r="O10" s="13" t="s">
        <v>66</v>
      </c>
      <c r="P10" s="14" t="s">
        <v>77</v>
      </c>
      <c r="Q10" s="11">
        <v>8.7650000000000006</v>
      </c>
    </row>
    <row r="11" spans="1:17" x14ac:dyDescent="0.25">
      <c r="A11" s="5">
        <v>9</v>
      </c>
      <c r="B11" s="8">
        <v>9.625</v>
      </c>
      <c r="C11" s="9">
        <v>36</v>
      </c>
      <c r="D11" s="7" t="s">
        <v>53</v>
      </c>
      <c r="E11" s="10">
        <v>65</v>
      </c>
      <c r="F11" s="7" t="s">
        <v>59</v>
      </c>
      <c r="G11" s="8">
        <v>8.9209999999999994</v>
      </c>
      <c r="H11" s="11">
        <v>0.35199999999999998</v>
      </c>
      <c r="I11" s="11">
        <v>27.344000000000001</v>
      </c>
      <c r="J11" s="11">
        <v>10.254</v>
      </c>
      <c r="K11" s="12">
        <v>2190</v>
      </c>
      <c r="L11" s="12">
        <v>4160</v>
      </c>
      <c r="M11" s="5">
        <v>667000</v>
      </c>
      <c r="N11" s="10">
        <v>734000</v>
      </c>
      <c r="O11" s="13" t="s">
        <v>66</v>
      </c>
      <c r="P11" s="14" t="s">
        <v>78</v>
      </c>
      <c r="Q11" s="11">
        <v>8.7650000000000006</v>
      </c>
    </row>
    <row r="12" spans="1:17" x14ac:dyDescent="0.25">
      <c r="A12" s="5">
        <v>10</v>
      </c>
      <c r="B12" s="8">
        <v>9.625</v>
      </c>
      <c r="C12" s="9">
        <v>40</v>
      </c>
      <c r="D12" s="7" t="s">
        <v>53</v>
      </c>
      <c r="E12" s="10">
        <v>65</v>
      </c>
      <c r="F12" s="7" t="s">
        <v>57</v>
      </c>
      <c r="G12" s="8">
        <v>8.8350000000000009</v>
      </c>
      <c r="H12" s="11">
        <v>0.39500000000000002</v>
      </c>
      <c r="I12" s="11">
        <v>24.367000000000001</v>
      </c>
      <c r="J12" s="11">
        <v>11.454000000000001</v>
      </c>
      <c r="K12" s="12">
        <v>2770</v>
      </c>
      <c r="L12" s="12">
        <v>4670</v>
      </c>
      <c r="M12" s="5">
        <v>744000</v>
      </c>
      <c r="N12" s="10">
        <v>528000</v>
      </c>
      <c r="O12" s="13" t="s">
        <v>66</v>
      </c>
      <c r="P12" s="14" t="s">
        <v>79</v>
      </c>
      <c r="Q12" s="11">
        <v>8.6790000000000003</v>
      </c>
    </row>
    <row r="13" spans="1:17" x14ac:dyDescent="0.25">
      <c r="A13" s="5">
        <v>11</v>
      </c>
      <c r="B13" s="8">
        <v>9.625</v>
      </c>
      <c r="C13" s="9">
        <v>40</v>
      </c>
      <c r="D13" s="7" t="s">
        <v>53</v>
      </c>
      <c r="E13" s="10">
        <v>65</v>
      </c>
      <c r="F13" s="7" t="s">
        <v>58</v>
      </c>
      <c r="G13" s="8">
        <v>8.8350000000000009</v>
      </c>
      <c r="H13" s="11">
        <v>0.39500000000000002</v>
      </c>
      <c r="I13" s="11">
        <v>24.367000000000001</v>
      </c>
      <c r="J13" s="11">
        <v>11.454000000000001</v>
      </c>
      <c r="K13" s="12">
        <v>2770</v>
      </c>
      <c r="L13" s="12">
        <v>4670</v>
      </c>
      <c r="M13" s="5">
        <v>744000</v>
      </c>
      <c r="N13" s="10">
        <v>608000</v>
      </c>
      <c r="O13" s="13" t="s">
        <v>66</v>
      </c>
      <c r="P13" s="14" t="s">
        <v>80</v>
      </c>
      <c r="Q13" s="11">
        <v>8.6790000000000003</v>
      </c>
    </row>
    <row r="14" spans="1:17" x14ac:dyDescent="0.25">
      <c r="A14" s="5">
        <v>12</v>
      </c>
      <c r="B14" s="8">
        <v>9.625</v>
      </c>
      <c r="C14" s="9">
        <v>40</v>
      </c>
      <c r="D14" s="7" t="s">
        <v>53</v>
      </c>
      <c r="E14" s="10">
        <v>65</v>
      </c>
      <c r="F14" s="7" t="s">
        <v>59</v>
      </c>
      <c r="G14" s="8">
        <v>8.8350000000000009</v>
      </c>
      <c r="H14" s="11">
        <v>0.39500000000000002</v>
      </c>
      <c r="I14" s="11">
        <v>24.367000000000001</v>
      </c>
      <c r="J14" s="11">
        <v>11.454000000000001</v>
      </c>
      <c r="K14" s="12">
        <v>2770</v>
      </c>
      <c r="L14" s="12">
        <v>4670</v>
      </c>
      <c r="M14" s="5">
        <v>744000</v>
      </c>
      <c r="N14" s="10">
        <v>823000</v>
      </c>
      <c r="O14" s="13" t="s">
        <v>66</v>
      </c>
      <c r="P14" s="14" t="s">
        <v>81</v>
      </c>
      <c r="Q14" s="11">
        <v>8.6790000000000003</v>
      </c>
    </row>
    <row r="15" spans="1:17" x14ac:dyDescent="0.25">
      <c r="A15" s="5">
        <v>13</v>
      </c>
      <c r="B15" s="8">
        <v>9.625</v>
      </c>
      <c r="C15" s="9">
        <v>43.5</v>
      </c>
      <c r="D15" s="7" t="s">
        <v>53</v>
      </c>
      <c r="E15" s="10">
        <v>65</v>
      </c>
      <c r="F15" s="7" t="s">
        <v>58</v>
      </c>
      <c r="G15" s="8">
        <v>8.7550000000000008</v>
      </c>
      <c r="H15" s="11">
        <v>0.435</v>
      </c>
      <c r="I15" s="11">
        <v>22.126000000000001</v>
      </c>
      <c r="J15" s="11">
        <v>12.558999999999999</v>
      </c>
      <c r="K15" s="12">
        <v>3530</v>
      </c>
      <c r="L15" s="12">
        <v>5140</v>
      </c>
      <c r="M15" s="5">
        <v>816000</v>
      </c>
      <c r="N15" s="10">
        <v>679000</v>
      </c>
      <c r="O15" s="13" t="s">
        <v>66</v>
      </c>
      <c r="P15" s="14" t="s">
        <v>82</v>
      </c>
      <c r="Q15" s="11">
        <v>8.5990000000000002</v>
      </c>
    </row>
    <row r="16" spans="1:17" x14ac:dyDescent="0.25">
      <c r="A16" s="5">
        <v>14</v>
      </c>
      <c r="B16" s="8">
        <v>9.625</v>
      </c>
      <c r="C16" s="9">
        <v>43.5</v>
      </c>
      <c r="D16" s="7" t="s">
        <v>53</v>
      </c>
      <c r="E16" s="10">
        <v>65</v>
      </c>
      <c r="F16" s="7" t="s">
        <v>59</v>
      </c>
      <c r="G16" s="8">
        <v>8.7550000000000008</v>
      </c>
      <c r="H16" s="11">
        <v>0.435</v>
      </c>
      <c r="I16" s="11">
        <v>22.126000000000001</v>
      </c>
      <c r="J16" s="11">
        <v>12.558999999999999</v>
      </c>
      <c r="K16" s="12">
        <v>3530</v>
      </c>
      <c r="L16" s="12">
        <v>5140</v>
      </c>
      <c r="M16" s="5">
        <v>816000</v>
      </c>
      <c r="N16" s="10">
        <v>899000</v>
      </c>
      <c r="O16" s="13" t="s">
        <v>66</v>
      </c>
      <c r="P16" s="14" t="s">
        <v>83</v>
      </c>
      <c r="Q16" s="11">
        <v>8.5990000000000002</v>
      </c>
    </row>
    <row r="17" spans="1:17" x14ac:dyDescent="0.25">
      <c r="A17" s="5">
        <v>15</v>
      </c>
      <c r="B17" s="8">
        <v>9.625</v>
      </c>
      <c r="C17" s="9">
        <v>40</v>
      </c>
      <c r="D17" s="7" t="s">
        <v>54</v>
      </c>
      <c r="E17" s="10">
        <v>80</v>
      </c>
      <c r="F17" s="7" t="s">
        <v>58</v>
      </c>
      <c r="G17" s="8">
        <v>8.8350000000000009</v>
      </c>
      <c r="H17" s="11">
        <v>0.39500000000000002</v>
      </c>
      <c r="I17" s="11">
        <v>24.367000000000001</v>
      </c>
      <c r="J17" s="11">
        <v>11.454000000000001</v>
      </c>
      <c r="K17" s="12">
        <v>3090</v>
      </c>
      <c r="L17" s="12">
        <v>5750</v>
      </c>
      <c r="M17" s="5">
        <v>916000</v>
      </c>
      <c r="N17" s="10">
        <v>737000</v>
      </c>
      <c r="O17" s="13" t="s">
        <v>67</v>
      </c>
      <c r="P17" s="14" t="s">
        <v>84</v>
      </c>
      <c r="Q17" s="11">
        <v>8.6790000000000003</v>
      </c>
    </row>
    <row r="18" spans="1:17" x14ac:dyDescent="0.25">
      <c r="A18" s="5">
        <v>16</v>
      </c>
      <c r="B18" s="8">
        <v>9.625</v>
      </c>
      <c r="C18" s="9">
        <v>40</v>
      </c>
      <c r="D18" s="7" t="s">
        <v>54</v>
      </c>
      <c r="E18" s="10">
        <v>80</v>
      </c>
      <c r="F18" s="7" t="s">
        <v>59</v>
      </c>
      <c r="G18" s="8">
        <v>8.8350000000000009</v>
      </c>
      <c r="H18" s="11">
        <v>0.39500000000000002</v>
      </c>
      <c r="I18" s="11">
        <v>24.367000000000001</v>
      </c>
      <c r="J18" s="11">
        <v>11.454000000000001</v>
      </c>
      <c r="K18" s="12">
        <v>3090</v>
      </c>
      <c r="L18" s="12">
        <v>5750</v>
      </c>
      <c r="M18" s="5">
        <v>916000</v>
      </c>
      <c r="N18" s="10">
        <v>979000</v>
      </c>
      <c r="O18" s="13" t="s">
        <v>67</v>
      </c>
      <c r="P18" s="14" t="s">
        <v>85</v>
      </c>
      <c r="Q18" s="11">
        <v>8.6790000000000003</v>
      </c>
    </row>
    <row r="19" spans="1:17" x14ac:dyDescent="0.25">
      <c r="A19" s="5">
        <v>17</v>
      </c>
      <c r="B19" s="8">
        <v>9.625</v>
      </c>
      <c r="C19" s="9">
        <v>43.5</v>
      </c>
      <c r="D19" s="7" t="s">
        <v>54</v>
      </c>
      <c r="E19" s="10">
        <v>80</v>
      </c>
      <c r="F19" s="7" t="s">
        <v>58</v>
      </c>
      <c r="G19" s="8">
        <v>8.7550000000000008</v>
      </c>
      <c r="H19" s="11">
        <v>0.435</v>
      </c>
      <c r="I19" s="11">
        <v>22.126000000000001</v>
      </c>
      <c r="J19" s="11">
        <v>12.558999999999999</v>
      </c>
      <c r="K19" s="12">
        <v>3810</v>
      </c>
      <c r="L19" s="12">
        <v>6330</v>
      </c>
      <c r="M19" s="5">
        <v>1005000</v>
      </c>
      <c r="N19" s="10">
        <v>825000</v>
      </c>
      <c r="O19" s="13" t="s">
        <v>67</v>
      </c>
      <c r="P19" s="14" t="s">
        <v>86</v>
      </c>
      <c r="Q19" s="11">
        <v>8.5990000000000002</v>
      </c>
    </row>
    <row r="20" spans="1:17" x14ac:dyDescent="0.25">
      <c r="A20" s="5">
        <v>18</v>
      </c>
      <c r="B20" s="8">
        <v>9.625</v>
      </c>
      <c r="C20" s="9">
        <v>43.5</v>
      </c>
      <c r="D20" s="7" t="s">
        <v>54</v>
      </c>
      <c r="E20" s="10">
        <v>80</v>
      </c>
      <c r="F20" s="7" t="s">
        <v>59</v>
      </c>
      <c r="G20" s="8">
        <v>8.7550000000000008</v>
      </c>
      <c r="H20" s="11">
        <v>0.435</v>
      </c>
      <c r="I20" s="11">
        <v>22.126000000000001</v>
      </c>
      <c r="J20" s="11">
        <v>12.558999999999999</v>
      </c>
      <c r="K20" s="12">
        <v>3810</v>
      </c>
      <c r="L20" s="12">
        <v>6330</v>
      </c>
      <c r="M20" s="5">
        <v>1005000</v>
      </c>
      <c r="N20" s="10">
        <v>1074000</v>
      </c>
      <c r="O20" s="13" t="s">
        <v>67</v>
      </c>
      <c r="P20" s="14" t="s">
        <v>87</v>
      </c>
      <c r="Q20" s="11">
        <v>8.5990000000000002</v>
      </c>
    </row>
    <row r="21" spans="1:17" x14ac:dyDescent="0.25">
      <c r="A21" s="5">
        <v>19</v>
      </c>
      <c r="B21" s="8">
        <v>9.625</v>
      </c>
      <c r="C21" s="9">
        <v>47</v>
      </c>
      <c r="D21" s="7" t="s">
        <v>54</v>
      </c>
      <c r="E21" s="10">
        <v>80</v>
      </c>
      <c r="F21" s="7" t="s">
        <v>58</v>
      </c>
      <c r="G21" s="8">
        <v>8.6809999999999992</v>
      </c>
      <c r="H21" s="11">
        <v>0.47199999999999998</v>
      </c>
      <c r="I21" s="11">
        <v>20.391999999999999</v>
      </c>
      <c r="J21" s="11">
        <v>13.571999999999999</v>
      </c>
      <c r="K21" s="12">
        <v>4750</v>
      </c>
      <c r="L21" s="12">
        <v>6870</v>
      </c>
      <c r="M21" s="5">
        <v>1086000</v>
      </c>
      <c r="N21" s="10">
        <v>905000</v>
      </c>
      <c r="O21" s="13" t="s">
        <v>67</v>
      </c>
      <c r="P21" s="14" t="s">
        <v>88</v>
      </c>
      <c r="Q21" s="11">
        <v>8.5250000000000004</v>
      </c>
    </row>
    <row r="22" spans="1:17" x14ac:dyDescent="0.25">
      <c r="A22" s="5">
        <v>20</v>
      </c>
      <c r="B22" s="8">
        <v>9.625</v>
      </c>
      <c r="C22" s="9">
        <v>47</v>
      </c>
      <c r="D22" s="7" t="s">
        <v>54</v>
      </c>
      <c r="E22" s="10">
        <v>80</v>
      </c>
      <c r="F22" s="7" t="s">
        <v>59</v>
      </c>
      <c r="G22" s="8">
        <v>8.6809999999999992</v>
      </c>
      <c r="H22" s="11">
        <v>0.47199999999999998</v>
      </c>
      <c r="I22" s="11">
        <v>20.391999999999999</v>
      </c>
      <c r="J22" s="11">
        <v>13.571999999999999</v>
      </c>
      <c r="K22" s="12">
        <v>4750</v>
      </c>
      <c r="L22" s="12">
        <v>6870</v>
      </c>
      <c r="M22" s="5">
        <v>1086000</v>
      </c>
      <c r="N22" s="10">
        <v>1161000</v>
      </c>
      <c r="O22" s="13" t="s">
        <v>67</v>
      </c>
      <c r="P22" s="14" t="s">
        <v>89</v>
      </c>
      <c r="Q22" s="11">
        <v>8.5250000000000004</v>
      </c>
    </row>
    <row r="23" spans="1:17" x14ac:dyDescent="0.25">
      <c r="A23" s="5">
        <v>21</v>
      </c>
      <c r="B23" s="8">
        <v>9.625</v>
      </c>
      <c r="C23" s="9">
        <v>43.5</v>
      </c>
      <c r="D23" s="7" t="s">
        <v>55</v>
      </c>
      <c r="E23" s="10">
        <v>95</v>
      </c>
      <c r="F23" s="7" t="s">
        <v>58</v>
      </c>
      <c r="G23" s="8">
        <v>8.7550000000000008</v>
      </c>
      <c r="H23" s="11">
        <v>0.435</v>
      </c>
      <c r="I23" s="11">
        <v>22.126000000000001</v>
      </c>
      <c r="J23" s="11">
        <v>12.558999999999999</v>
      </c>
      <c r="K23" s="12">
        <v>4130</v>
      </c>
      <c r="L23" s="12">
        <v>7510</v>
      </c>
      <c r="M23" s="5">
        <v>1193000</v>
      </c>
      <c r="N23" s="10">
        <v>948000</v>
      </c>
      <c r="O23" s="13" t="s">
        <v>68</v>
      </c>
      <c r="P23" s="14" t="s">
        <v>90</v>
      </c>
      <c r="Q23" s="11">
        <v>8.5990000000000002</v>
      </c>
    </row>
    <row r="24" spans="1:17" x14ac:dyDescent="0.25">
      <c r="A24" s="5">
        <v>22</v>
      </c>
      <c r="B24" s="8">
        <v>9.625</v>
      </c>
      <c r="C24" s="9">
        <v>43.5</v>
      </c>
      <c r="D24" s="7" t="s">
        <v>55</v>
      </c>
      <c r="E24" s="10">
        <v>95</v>
      </c>
      <c r="F24" s="7" t="s">
        <v>59</v>
      </c>
      <c r="G24" s="8">
        <v>8.7550000000000008</v>
      </c>
      <c r="H24" s="11">
        <v>0.435</v>
      </c>
      <c r="I24" s="11">
        <v>22.126000000000001</v>
      </c>
      <c r="J24" s="11">
        <v>12.558999999999999</v>
      </c>
      <c r="K24" s="12">
        <v>4130</v>
      </c>
      <c r="L24" s="12">
        <v>7510</v>
      </c>
      <c r="M24" s="5">
        <v>1193000</v>
      </c>
      <c r="N24" s="10">
        <v>1178000</v>
      </c>
      <c r="O24" s="13" t="s">
        <v>68</v>
      </c>
      <c r="P24" s="14" t="s">
        <v>91</v>
      </c>
      <c r="Q24" s="11">
        <v>8.5990000000000002</v>
      </c>
    </row>
    <row r="25" spans="1:17" x14ac:dyDescent="0.25">
      <c r="A25" s="5">
        <v>23</v>
      </c>
      <c r="B25" s="8">
        <v>9.625</v>
      </c>
      <c r="C25" s="9">
        <v>53.5</v>
      </c>
      <c r="D25" s="7" t="s">
        <v>54</v>
      </c>
      <c r="E25" s="10">
        <v>80</v>
      </c>
      <c r="F25" s="7" t="s">
        <v>58</v>
      </c>
      <c r="G25" s="8">
        <v>8.5350000000000001</v>
      </c>
      <c r="H25" s="11">
        <v>0.54500000000000004</v>
      </c>
      <c r="I25" s="11">
        <v>17.661000000000001</v>
      </c>
      <c r="J25" s="11">
        <v>15.545999999999999</v>
      </c>
      <c r="K25" s="12">
        <v>6620</v>
      </c>
      <c r="L25" s="12">
        <v>7930</v>
      </c>
      <c r="M25" s="5">
        <v>1244000</v>
      </c>
      <c r="N25" s="10">
        <v>1157000</v>
      </c>
      <c r="O25" s="13" t="s">
        <v>67</v>
      </c>
      <c r="P25" s="14" t="s">
        <v>92</v>
      </c>
      <c r="Q25" s="11">
        <v>8.3789999999999996</v>
      </c>
    </row>
    <row r="26" spans="1:17" x14ac:dyDescent="0.25">
      <c r="A26" s="5">
        <v>24</v>
      </c>
      <c r="B26" s="8">
        <v>9.625</v>
      </c>
      <c r="C26" s="9">
        <v>53.5</v>
      </c>
      <c r="D26" s="7" t="s">
        <v>54</v>
      </c>
      <c r="E26" s="10">
        <v>80</v>
      </c>
      <c r="F26" s="7" t="s">
        <v>59</v>
      </c>
      <c r="G26" s="8">
        <v>8.5350000000000001</v>
      </c>
      <c r="H26" s="11">
        <v>0.54500000000000004</v>
      </c>
      <c r="I26" s="11">
        <v>17.661000000000001</v>
      </c>
      <c r="J26" s="11">
        <v>15.545999999999999</v>
      </c>
      <c r="K26" s="12">
        <v>6620</v>
      </c>
      <c r="L26" s="12">
        <v>7930</v>
      </c>
      <c r="M26" s="5">
        <v>1244000</v>
      </c>
      <c r="N26" s="10">
        <v>1386000</v>
      </c>
      <c r="O26" s="13" t="s">
        <v>67</v>
      </c>
      <c r="P26" s="14" t="s">
        <v>93</v>
      </c>
      <c r="Q26" s="11">
        <v>8.3789999999999996</v>
      </c>
    </row>
    <row r="27" spans="1:17" x14ac:dyDescent="0.25">
      <c r="A27" s="5">
        <v>27</v>
      </c>
      <c r="B27" s="8">
        <v>9.625</v>
      </c>
      <c r="C27" s="9">
        <v>47</v>
      </c>
      <c r="D27" s="7" t="s">
        <v>55</v>
      </c>
      <c r="E27" s="10">
        <v>95</v>
      </c>
      <c r="F27" s="7" t="s">
        <v>58</v>
      </c>
      <c r="G27" s="8">
        <v>8.6809999999999992</v>
      </c>
      <c r="H27" s="11">
        <v>0.47199999999999998</v>
      </c>
      <c r="I27" s="11">
        <v>20.391999999999999</v>
      </c>
      <c r="J27" s="11">
        <v>13.571999999999999</v>
      </c>
      <c r="K27" s="12">
        <v>5090</v>
      </c>
      <c r="L27" s="12">
        <v>8150</v>
      </c>
      <c r="M27" s="5">
        <v>1289000</v>
      </c>
      <c r="N27" s="10">
        <v>1040000</v>
      </c>
      <c r="O27" s="13" t="s">
        <v>68</v>
      </c>
      <c r="P27" s="14" t="s">
        <v>94</v>
      </c>
      <c r="Q27" s="11">
        <v>8.5250000000000004</v>
      </c>
    </row>
    <row r="28" spans="1:17" x14ac:dyDescent="0.25">
      <c r="A28" s="5">
        <v>28</v>
      </c>
      <c r="B28" s="8">
        <v>9.625</v>
      </c>
      <c r="C28" s="9">
        <v>47</v>
      </c>
      <c r="D28" s="7" t="s">
        <v>55</v>
      </c>
      <c r="E28" s="10">
        <v>95</v>
      </c>
      <c r="F28" s="7" t="s">
        <v>59</v>
      </c>
      <c r="G28" s="8">
        <v>8.6809999999999992</v>
      </c>
      <c r="H28" s="11">
        <v>0.47199999999999998</v>
      </c>
      <c r="I28" s="11">
        <v>20.391999999999999</v>
      </c>
      <c r="J28" s="11">
        <v>13.571999999999999</v>
      </c>
      <c r="K28" s="12">
        <v>5090</v>
      </c>
      <c r="L28" s="12">
        <v>8150</v>
      </c>
      <c r="M28" s="5">
        <v>1289000</v>
      </c>
      <c r="N28" s="10">
        <v>1273000</v>
      </c>
      <c r="O28" s="13" t="s">
        <v>68</v>
      </c>
      <c r="P28" s="14" t="s">
        <v>95</v>
      </c>
      <c r="Q28" s="11">
        <v>8.5250000000000004</v>
      </c>
    </row>
    <row r="29" spans="1:17" x14ac:dyDescent="0.25">
      <c r="A29" s="5">
        <v>29</v>
      </c>
      <c r="B29" s="8">
        <v>9.625</v>
      </c>
      <c r="C29" s="9">
        <v>43.5</v>
      </c>
      <c r="D29" s="7" t="s">
        <v>56</v>
      </c>
      <c r="E29" s="10">
        <v>110</v>
      </c>
      <c r="F29" s="7" t="s">
        <v>58</v>
      </c>
      <c r="G29" s="8">
        <v>8.7550000000000008</v>
      </c>
      <c r="H29" s="11">
        <v>0.435</v>
      </c>
      <c r="I29" s="11">
        <v>22.126000000000001</v>
      </c>
      <c r="J29" s="11">
        <v>12.558999999999999</v>
      </c>
      <c r="K29" s="12">
        <v>4420</v>
      </c>
      <c r="L29" s="12">
        <v>8700</v>
      </c>
      <c r="M29" s="5">
        <v>1381000</v>
      </c>
      <c r="N29" s="10">
        <v>1106000</v>
      </c>
      <c r="O29" s="13" t="s">
        <v>69</v>
      </c>
      <c r="P29" s="14" t="s">
        <v>96</v>
      </c>
      <c r="Q29" s="11">
        <v>8.5990000000000002</v>
      </c>
    </row>
    <row r="30" spans="1:17" x14ac:dyDescent="0.25">
      <c r="A30" s="5">
        <v>30</v>
      </c>
      <c r="B30" s="8">
        <v>9.625</v>
      </c>
      <c r="C30" s="9">
        <v>43.5</v>
      </c>
      <c r="D30" s="7" t="s">
        <v>56</v>
      </c>
      <c r="E30" s="10">
        <v>110</v>
      </c>
      <c r="F30" s="7" t="s">
        <v>59</v>
      </c>
      <c r="G30" s="8">
        <v>8.7550000000000008</v>
      </c>
      <c r="H30" s="11">
        <v>0.435</v>
      </c>
      <c r="I30" s="11">
        <v>22.126000000000001</v>
      </c>
      <c r="J30" s="11">
        <v>12.558999999999999</v>
      </c>
      <c r="K30" s="12">
        <v>4420</v>
      </c>
      <c r="L30" s="12">
        <v>8700</v>
      </c>
      <c r="M30" s="5">
        <v>1381000</v>
      </c>
      <c r="N30" s="10">
        <v>1388000</v>
      </c>
      <c r="O30" s="13" t="s">
        <v>69</v>
      </c>
      <c r="P30" s="14" t="s">
        <v>97</v>
      </c>
      <c r="Q30" s="11">
        <v>8.5990000000000002</v>
      </c>
    </row>
    <row r="31" spans="1:17" x14ac:dyDescent="0.25">
      <c r="A31" s="5">
        <v>31</v>
      </c>
      <c r="B31" s="8">
        <v>9.625</v>
      </c>
      <c r="C31" s="9">
        <v>53.5</v>
      </c>
      <c r="D31" s="7" t="s">
        <v>55</v>
      </c>
      <c r="E31" s="10">
        <v>95</v>
      </c>
      <c r="F31" s="7" t="s">
        <v>58</v>
      </c>
      <c r="G31" s="8">
        <v>8.5350000000000001</v>
      </c>
      <c r="H31" s="11">
        <v>0.54500000000000004</v>
      </c>
      <c r="I31" s="11">
        <v>17.661000000000001</v>
      </c>
      <c r="J31" s="11">
        <v>15.545999999999999</v>
      </c>
      <c r="K31" s="12">
        <v>7340</v>
      </c>
      <c r="L31" s="12">
        <v>9410</v>
      </c>
      <c r="M31" s="5">
        <v>1477000</v>
      </c>
      <c r="N31" s="10">
        <v>1220000</v>
      </c>
      <c r="O31" s="13" t="s">
        <v>68</v>
      </c>
      <c r="P31" s="14" t="s">
        <v>98</v>
      </c>
      <c r="Q31" s="11">
        <v>8.3789999999999996</v>
      </c>
    </row>
    <row r="32" spans="1:17" x14ac:dyDescent="0.25">
      <c r="A32" s="5">
        <v>32</v>
      </c>
      <c r="B32" s="8">
        <v>9.625</v>
      </c>
      <c r="C32" s="9">
        <v>53.5</v>
      </c>
      <c r="D32" s="7" t="s">
        <v>55</v>
      </c>
      <c r="E32" s="10">
        <v>95</v>
      </c>
      <c r="F32" s="7" t="s">
        <v>59</v>
      </c>
      <c r="G32" s="8">
        <v>8.5350000000000001</v>
      </c>
      <c r="H32" s="11">
        <v>0.54500000000000004</v>
      </c>
      <c r="I32" s="11">
        <v>17.661000000000001</v>
      </c>
      <c r="J32" s="11">
        <v>15.545999999999999</v>
      </c>
      <c r="K32" s="12">
        <v>7340</v>
      </c>
      <c r="L32" s="12">
        <v>9410</v>
      </c>
      <c r="M32" s="5">
        <v>1477000</v>
      </c>
      <c r="N32" s="10">
        <v>1458000</v>
      </c>
      <c r="O32" s="13" t="s">
        <v>68</v>
      </c>
      <c r="P32" s="14" t="s">
        <v>99</v>
      </c>
      <c r="Q32" s="11">
        <v>8.3789999999999996</v>
      </c>
    </row>
    <row r="33" spans="1:17" x14ac:dyDescent="0.25">
      <c r="A33" s="5">
        <v>33</v>
      </c>
      <c r="B33" s="8">
        <v>9.625</v>
      </c>
      <c r="C33" s="9">
        <v>47</v>
      </c>
      <c r="D33" s="7" t="s">
        <v>56</v>
      </c>
      <c r="E33" s="10">
        <v>110</v>
      </c>
      <c r="F33" s="7" t="s">
        <v>58</v>
      </c>
      <c r="G33" s="8">
        <v>8.6809999999999992</v>
      </c>
      <c r="H33" s="11">
        <v>0.47199999999999998</v>
      </c>
      <c r="I33" s="11">
        <v>20.391999999999999</v>
      </c>
      <c r="J33" s="11">
        <v>13.571999999999999</v>
      </c>
      <c r="K33" s="12">
        <v>5300</v>
      </c>
      <c r="L33" s="12">
        <v>9440</v>
      </c>
      <c r="M33" s="5">
        <v>1493000</v>
      </c>
      <c r="N33" s="10">
        <v>1213000</v>
      </c>
      <c r="O33" s="13" t="s">
        <v>69</v>
      </c>
      <c r="P33" s="14" t="s">
        <v>100</v>
      </c>
      <c r="Q33" s="11">
        <v>8.5250000000000004</v>
      </c>
    </row>
    <row r="34" spans="1:17" x14ac:dyDescent="0.25">
      <c r="A34" s="5">
        <v>34</v>
      </c>
      <c r="B34" s="8">
        <v>9.625</v>
      </c>
      <c r="C34" s="9">
        <v>47</v>
      </c>
      <c r="D34" s="7" t="s">
        <v>56</v>
      </c>
      <c r="E34" s="10">
        <v>110</v>
      </c>
      <c r="F34" s="7" t="s">
        <v>59</v>
      </c>
      <c r="G34" s="8">
        <v>8.6809999999999992</v>
      </c>
      <c r="H34" s="11">
        <v>0.47199999999999998</v>
      </c>
      <c r="I34" s="11">
        <v>20.391999999999999</v>
      </c>
      <c r="J34" s="11">
        <v>13.571999999999999</v>
      </c>
      <c r="K34" s="12">
        <v>5300</v>
      </c>
      <c r="L34" s="12">
        <v>9440</v>
      </c>
      <c r="M34" s="5">
        <v>1493000</v>
      </c>
      <c r="N34" s="10">
        <v>1500000</v>
      </c>
      <c r="O34" s="13" t="s">
        <v>69</v>
      </c>
      <c r="P34" s="14" t="s">
        <v>101</v>
      </c>
      <c r="Q34" s="11">
        <v>8.5250000000000004</v>
      </c>
    </row>
    <row r="35" spans="1:17" x14ac:dyDescent="0.25">
      <c r="A35" s="5">
        <v>35</v>
      </c>
      <c r="B35" s="8">
        <v>9.625</v>
      </c>
      <c r="C35" s="9">
        <v>53.5</v>
      </c>
      <c r="D35" s="7" t="s">
        <v>56</v>
      </c>
      <c r="E35" s="10">
        <v>110</v>
      </c>
      <c r="F35" s="7" t="s">
        <v>58</v>
      </c>
      <c r="G35" s="8">
        <v>8.5350000000000001</v>
      </c>
      <c r="H35" s="11">
        <v>0.54500000000000004</v>
      </c>
      <c r="I35" s="11">
        <v>17.661000000000001</v>
      </c>
      <c r="J35" s="11">
        <v>15.545999999999999</v>
      </c>
      <c r="K35" s="12">
        <v>7950</v>
      </c>
      <c r="L35" s="12">
        <v>10900</v>
      </c>
      <c r="M35" s="5">
        <v>1710000</v>
      </c>
      <c r="N35" s="10">
        <v>1422000</v>
      </c>
      <c r="O35" s="13" t="s">
        <v>69</v>
      </c>
      <c r="P35" s="14" t="s">
        <v>102</v>
      </c>
      <c r="Q35" s="11">
        <v>8.3789999999999996</v>
      </c>
    </row>
    <row r="36" spans="1:17" x14ac:dyDescent="0.25">
      <c r="A36" s="5">
        <v>36</v>
      </c>
      <c r="B36" s="8">
        <v>9.625</v>
      </c>
      <c r="C36" s="9">
        <v>53.5</v>
      </c>
      <c r="D36" s="7" t="s">
        <v>56</v>
      </c>
      <c r="E36" s="10">
        <v>110</v>
      </c>
      <c r="F36" s="7" t="s">
        <v>59</v>
      </c>
      <c r="G36" s="8">
        <v>8.5350000000000001</v>
      </c>
      <c r="H36" s="11">
        <v>0.54500000000000004</v>
      </c>
      <c r="I36" s="11">
        <v>17.661000000000001</v>
      </c>
      <c r="J36" s="11">
        <v>15.545999999999999</v>
      </c>
      <c r="K36" s="12">
        <v>7950</v>
      </c>
      <c r="L36" s="12">
        <v>10900</v>
      </c>
      <c r="M36" s="5">
        <v>1710000</v>
      </c>
      <c r="N36" s="10">
        <v>1718000</v>
      </c>
      <c r="O36" s="13" t="s">
        <v>69</v>
      </c>
      <c r="P36" s="14" t="s">
        <v>103</v>
      </c>
      <c r="Q36" s="11">
        <v>8.3789999999999996</v>
      </c>
    </row>
    <row r="37" spans="1:17" x14ac:dyDescent="0.25">
      <c r="A37" s="5">
        <v>1</v>
      </c>
      <c r="B37" s="5">
        <v>2</v>
      </c>
      <c r="C37" s="5">
        <v>3</v>
      </c>
      <c r="D37" s="5">
        <v>4</v>
      </c>
      <c r="E37" s="5">
        <v>5</v>
      </c>
      <c r="F37" s="5">
        <v>6</v>
      </c>
      <c r="G37" s="5">
        <v>7</v>
      </c>
      <c r="H37" s="5">
        <v>8</v>
      </c>
      <c r="I37" s="5">
        <v>9</v>
      </c>
      <c r="J37" s="5">
        <v>10</v>
      </c>
      <c r="K37" s="5">
        <v>11</v>
      </c>
      <c r="L37" s="5">
        <v>12</v>
      </c>
      <c r="M37" s="5">
        <v>13</v>
      </c>
      <c r="N37" s="5">
        <v>14</v>
      </c>
      <c r="O37" s="5">
        <v>15</v>
      </c>
      <c r="P37" s="5">
        <v>16</v>
      </c>
      <c r="Q37" s="5">
        <v>17</v>
      </c>
    </row>
  </sheetData>
  <mergeCells count="1">
    <mergeCell ref="A1:Q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"/>
  <sheetViews>
    <sheetView zoomScale="70" zoomScaleNormal="70" workbookViewId="0">
      <selection activeCell="V16" sqref="V16"/>
    </sheetView>
  </sheetViews>
  <sheetFormatPr defaultRowHeight="15.75" x14ac:dyDescent="0.25"/>
  <cols>
    <col min="1" max="16384" width="9" style="1"/>
  </cols>
  <sheetData>
    <row r="1" spans="1:22" x14ac:dyDescent="0.25">
      <c r="A1" s="190" t="s">
        <v>175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</row>
    <row r="2" spans="1:22" ht="22.5" x14ac:dyDescent="0.25">
      <c r="A2" s="87" t="s">
        <v>176</v>
      </c>
      <c r="B2" s="88" t="s">
        <v>2</v>
      </c>
      <c r="C2" s="89" t="s">
        <v>177</v>
      </c>
      <c r="D2" s="191" t="s">
        <v>178</v>
      </c>
      <c r="E2" s="192"/>
      <c r="F2" s="89" t="s">
        <v>179</v>
      </c>
      <c r="G2" s="89" t="s">
        <v>180</v>
      </c>
      <c r="H2" s="98" t="s">
        <v>181</v>
      </c>
      <c r="I2" s="98" t="s">
        <v>182</v>
      </c>
      <c r="J2" s="98" t="s">
        <v>183</v>
      </c>
      <c r="K2" s="99" t="s">
        <v>184</v>
      </c>
      <c r="L2" s="99" t="s">
        <v>185</v>
      </c>
      <c r="M2" s="98" t="s">
        <v>186</v>
      </c>
      <c r="N2" s="89" t="s">
        <v>187</v>
      </c>
      <c r="O2" s="98" t="s">
        <v>178</v>
      </c>
      <c r="P2" s="100" t="s">
        <v>188</v>
      </c>
      <c r="Q2" s="101" t="s">
        <v>189</v>
      </c>
    </row>
    <row r="3" spans="1:22" x14ac:dyDescent="0.25">
      <c r="A3" s="90">
        <v>1</v>
      </c>
      <c r="B3" s="91">
        <v>7.625</v>
      </c>
      <c r="C3" s="92">
        <v>26.4</v>
      </c>
      <c r="D3" s="93" t="s">
        <v>190</v>
      </c>
      <c r="E3" s="94">
        <v>55</v>
      </c>
      <c r="F3" s="89" t="s">
        <v>191</v>
      </c>
      <c r="G3" s="102">
        <v>6.9690000000000003</v>
      </c>
      <c r="H3" s="103">
        <v>0.32800000000000001</v>
      </c>
      <c r="I3" s="103">
        <v>23.247</v>
      </c>
      <c r="J3" s="103">
        <v>7.5190000000000001</v>
      </c>
      <c r="K3" s="104">
        <v>2900</v>
      </c>
      <c r="L3" s="104">
        <v>4140</v>
      </c>
      <c r="M3" s="97">
        <v>414000</v>
      </c>
      <c r="N3" s="95">
        <v>377000</v>
      </c>
      <c r="O3" s="98" t="s">
        <v>192</v>
      </c>
      <c r="P3" s="100" t="s">
        <v>193</v>
      </c>
      <c r="Q3" s="105">
        <v>6.8440000000000003</v>
      </c>
    </row>
    <row r="4" spans="1:22" x14ac:dyDescent="0.25">
      <c r="A4" s="90">
        <v>2</v>
      </c>
      <c r="B4" s="91">
        <v>7.625</v>
      </c>
      <c r="C4" s="92">
        <v>26.4</v>
      </c>
      <c r="D4" s="93" t="s">
        <v>190</v>
      </c>
      <c r="E4" s="94">
        <v>55</v>
      </c>
      <c r="F4" s="89" t="s">
        <v>194</v>
      </c>
      <c r="G4" s="102">
        <v>6.9690000000000003</v>
      </c>
      <c r="H4" s="103">
        <v>0.32800000000000001</v>
      </c>
      <c r="I4" s="103">
        <v>23.247</v>
      </c>
      <c r="J4" s="103">
        <v>7.5190000000000001</v>
      </c>
      <c r="K4" s="104">
        <v>2900</v>
      </c>
      <c r="L4" s="104">
        <v>4140</v>
      </c>
      <c r="M4" s="97">
        <v>414000</v>
      </c>
      <c r="N4" s="95">
        <v>581000</v>
      </c>
      <c r="O4" s="98" t="s">
        <v>192</v>
      </c>
      <c r="P4" s="100" t="s">
        <v>195</v>
      </c>
      <c r="Q4" s="105">
        <v>6.8440000000000003</v>
      </c>
    </row>
    <row r="5" spans="1:22" x14ac:dyDescent="0.25">
      <c r="A5" s="90">
        <v>3</v>
      </c>
      <c r="B5" s="91">
        <v>7.625</v>
      </c>
      <c r="C5" s="92">
        <v>26.4</v>
      </c>
      <c r="D5" s="93" t="s">
        <v>196</v>
      </c>
      <c r="E5" s="94">
        <v>65</v>
      </c>
      <c r="F5" s="89" t="s">
        <v>191</v>
      </c>
      <c r="G5" s="102">
        <v>6.9690000000000003</v>
      </c>
      <c r="H5" s="103">
        <v>0.32800000000000001</v>
      </c>
      <c r="I5" s="103">
        <v>23.247</v>
      </c>
      <c r="J5" s="103">
        <v>7.5190000000000001</v>
      </c>
      <c r="K5" s="104">
        <v>3100</v>
      </c>
      <c r="L5" s="104">
        <v>4890</v>
      </c>
      <c r="M5" s="97">
        <v>489000</v>
      </c>
      <c r="N5" s="95">
        <v>403000</v>
      </c>
      <c r="O5" s="98" t="s">
        <v>197</v>
      </c>
      <c r="P5" s="100" t="s">
        <v>198</v>
      </c>
      <c r="Q5" s="105">
        <v>6.8440000000000003</v>
      </c>
    </row>
    <row r="6" spans="1:22" x14ac:dyDescent="0.25">
      <c r="A6" s="90">
        <v>4</v>
      </c>
      <c r="B6" s="91">
        <v>7.625</v>
      </c>
      <c r="C6" s="92">
        <v>26.4</v>
      </c>
      <c r="D6" s="93" t="s">
        <v>196</v>
      </c>
      <c r="E6" s="94">
        <v>65</v>
      </c>
      <c r="F6" s="89" t="s">
        <v>194</v>
      </c>
      <c r="G6" s="102">
        <v>6.9690000000000003</v>
      </c>
      <c r="H6" s="103">
        <v>0.32800000000000001</v>
      </c>
      <c r="I6" s="103">
        <v>23.247</v>
      </c>
      <c r="J6" s="103">
        <v>7.5190000000000001</v>
      </c>
      <c r="K6" s="104">
        <v>3100</v>
      </c>
      <c r="L6" s="104">
        <v>4890</v>
      </c>
      <c r="M6" s="97">
        <v>489000</v>
      </c>
      <c r="N6" s="95">
        <v>554000</v>
      </c>
      <c r="O6" s="98" t="s">
        <v>197</v>
      </c>
      <c r="P6" s="100" t="s">
        <v>199</v>
      </c>
      <c r="Q6" s="105">
        <v>6.8440000000000003</v>
      </c>
      <c r="S6" s="2">
        <v>26.4</v>
      </c>
      <c r="T6" s="2" t="s">
        <v>241</v>
      </c>
      <c r="U6" s="35" t="s">
        <v>165</v>
      </c>
      <c r="V6" s="1">
        <v>7</v>
      </c>
    </row>
    <row r="7" spans="1:22" x14ac:dyDescent="0.25">
      <c r="A7" s="90">
        <v>5</v>
      </c>
      <c r="B7" s="91">
        <v>7.625</v>
      </c>
      <c r="C7" s="92">
        <v>29.7</v>
      </c>
      <c r="D7" s="93" t="s">
        <v>196</v>
      </c>
      <c r="E7" s="94">
        <v>65</v>
      </c>
      <c r="F7" s="89" t="s">
        <v>191</v>
      </c>
      <c r="G7" s="102">
        <v>6.875</v>
      </c>
      <c r="H7" s="103">
        <v>0.375</v>
      </c>
      <c r="I7" s="103">
        <v>20.332999999999998</v>
      </c>
      <c r="J7" s="103">
        <v>8.5410000000000004</v>
      </c>
      <c r="K7" s="104">
        <v>4310</v>
      </c>
      <c r="L7" s="104">
        <v>5590</v>
      </c>
      <c r="M7" s="97">
        <v>555000</v>
      </c>
      <c r="N7" s="95">
        <v>474000</v>
      </c>
      <c r="O7" s="98" t="s">
        <v>197</v>
      </c>
      <c r="P7" s="100" t="s">
        <v>200</v>
      </c>
      <c r="Q7" s="105">
        <v>6.75</v>
      </c>
      <c r="S7" s="2">
        <v>29.7</v>
      </c>
      <c r="T7" s="2" t="s">
        <v>245</v>
      </c>
      <c r="U7" s="35" t="s">
        <v>165</v>
      </c>
      <c r="V7" s="1">
        <v>5</v>
      </c>
    </row>
    <row r="8" spans="1:22" x14ac:dyDescent="0.25">
      <c r="A8" s="134">
        <v>6</v>
      </c>
      <c r="B8" s="91">
        <v>7.625</v>
      </c>
      <c r="C8" s="92">
        <v>29.7</v>
      </c>
      <c r="D8" s="93" t="s">
        <v>196</v>
      </c>
      <c r="E8" s="94">
        <v>65</v>
      </c>
      <c r="F8" s="89" t="s">
        <v>194</v>
      </c>
      <c r="G8" s="102">
        <v>6.875</v>
      </c>
      <c r="H8" s="103">
        <v>0.375</v>
      </c>
      <c r="I8" s="103">
        <v>20.332999999999998</v>
      </c>
      <c r="J8" s="103">
        <v>8.5410000000000004</v>
      </c>
      <c r="K8" s="104">
        <v>4310</v>
      </c>
      <c r="L8" s="104">
        <v>5590</v>
      </c>
      <c r="M8" s="97">
        <v>555000</v>
      </c>
      <c r="N8" s="95">
        <v>629000</v>
      </c>
      <c r="O8" s="98" t="s">
        <v>197</v>
      </c>
      <c r="P8" s="100" t="s">
        <v>201</v>
      </c>
      <c r="Q8" s="105">
        <v>6.75</v>
      </c>
      <c r="S8" s="2">
        <v>29.7</v>
      </c>
      <c r="T8" s="2" t="s">
        <v>241</v>
      </c>
      <c r="U8" s="35" t="s">
        <v>165</v>
      </c>
      <c r="V8" s="1">
        <v>11</v>
      </c>
    </row>
    <row r="9" spans="1:22" x14ac:dyDescent="0.25">
      <c r="A9" s="90">
        <v>7</v>
      </c>
      <c r="B9" s="91">
        <v>7.625</v>
      </c>
      <c r="C9" s="92">
        <v>26.4</v>
      </c>
      <c r="D9" s="93" t="s">
        <v>202</v>
      </c>
      <c r="E9" s="94">
        <v>80</v>
      </c>
      <c r="F9" s="89" t="s">
        <v>191</v>
      </c>
      <c r="G9" s="102">
        <v>6.9690000000000003</v>
      </c>
      <c r="H9" s="103">
        <v>0.32800000000000001</v>
      </c>
      <c r="I9" s="103">
        <v>23.247</v>
      </c>
      <c r="J9" s="103">
        <v>7.5190000000000001</v>
      </c>
      <c r="K9" s="104">
        <v>3400</v>
      </c>
      <c r="L9" s="104">
        <v>6020</v>
      </c>
      <c r="M9" s="97">
        <v>602000</v>
      </c>
      <c r="N9" s="95">
        <v>490000</v>
      </c>
      <c r="O9" s="98" t="s">
        <v>203</v>
      </c>
      <c r="P9" s="100" t="s">
        <v>204</v>
      </c>
      <c r="Q9" s="105">
        <v>6.8440000000000003</v>
      </c>
    </row>
    <row r="10" spans="1:22" x14ac:dyDescent="0.25">
      <c r="A10" s="134">
        <v>8</v>
      </c>
      <c r="B10" s="91">
        <v>7.625</v>
      </c>
      <c r="C10" s="92">
        <v>26.4</v>
      </c>
      <c r="D10" s="93" t="s">
        <v>202</v>
      </c>
      <c r="E10" s="94">
        <v>80</v>
      </c>
      <c r="F10" s="89" t="s">
        <v>194</v>
      </c>
      <c r="G10" s="102">
        <v>6.9690000000000003</v>
      </c>
      <c r="H10" s="103">
        <v>0.32800000000000001</v>
      </c>
      <c r="I10" s="103">
        <v>23.247</v>
      </c>
      <c r="J10" s="103">
        <v>7.5190000000000001</v>
      </c>
      <c r="K10" s="104">
        <v>3400</v>
      </c>
      <c r="L10" s="104">
        <v>6020</v>
      </c>
      <c r="M10" s="97">
        <v>602000</v>
      </c>
      <c r="N10" s="95">
        <v>659000</v>
      </c>
      <c r="O10" s="98" t="s">
        <v>203</v>
      </c>
      <c r="P10" s="100" t="s">
        <v>205</v>
      </c>
      <c r="Q10" s="105">
        <v>6.8440000000000003</v>
      </c>
    </row>
    <row r="11" spans="1:22" x14ac:dyDescent="0.25">
      <c r="A11" s="90">
        <v>11</v>
      </c>
      <c r="B11" s="91">
        <v>7.625</v>
      </c>
      <c r="C11" s="92">
        <v>29.7</v>
      </c>
      <c r="D11" s="93" t="s">
        <v>202</v>
      </c>
      <c r="E11" s="94">
        <v>80</v>
      </c>
      <c r="F11" s="89" t="s">
        <v>191</v>
      </c>
      <c r="G11" s="102">
        <v>6.875</v>
      </c>
      <c r="H11" s="103">
        <v>0.375</v>
      </c>
      <c r="I11" s="103">
        <v>20.332999999999998</v>
      </c>
      <c r="J11" s="103">
        <v>8.5410000000000004</v>
      </c>
      <c r="K11" s="104">
        <v>4790</v>
      </c>
      <c r="L11" s="104">
        <v>6890</v>
      </c>
      <c r="M11" s="97">
        <v>683000</v>
      </c>
      <c r="N11" s="95">
        <v>575000</v>
      </c>
      <c r="O11" s="98" t="s">
        <v>203</v>
      </c>
      <c r="P11" s="100" t="s">
        <v>206</v>
      </c>
      <c r="Q11" s="105">
        <v>6.75</v>
      </c>
    </row>
    <row r="12" spans="1:22" x14ac:dyDescent="0.25">
      <c r="A12" s="134">
        <v>12</v>
      </c>
      <c r="B12" s="91">
        <v>7.625</v>
      </c>
      <c r="C12" s="92">
        <v>29.7</v>
      </c>
      <c r="D12" s="93" t="s">
        <v>202</v>
      </c>
      <c r="E12" s="94">
        <v>80</v>
      </c>
      <c r="F12" s="89" t="s">
        <v>194</v>
      </c>
      <c r="G12" s="102">
        <v>6.875</v>
      </c>
      <c r="H12" s="103">
        <v>0.375</v>
      </c>
      <c r="I12" s="103">
        <v>20.332999999999998</v>
      </c>
      <c r="J12" s="103">
        <v>8.5410000000000004</v>
      </c>
      <c r="K12" s="104">
        <v>4790</v>
      </c>
      <c r="L12" s="104">
        <v>6890</v>
      </c>
      <c r="M12" s="97">
        <v>683000</v>
      </c>
      <c r="N12" s="95">
        <v>749000</v>
      </c>
      <c r="O12" s="98" t="s">
        <v>203</v>
      </c>
      <c r="P12" s="100" t="s">
        <v>207</v>
      </c>
      <c r="Q12" s="105">
        <v>6.75</v>
      </c>
    </row>
    <row r="13" spans="1:22" x14ac:dyDescent="0.25">
      <c r="A13" s="90">
        <v>13</v>
      </c>
      <c r="B13" s="91">
        <v>7.625</v>
      </c>
      <c r="C13" s="92">
        <v>26.4</v>
      </c>
      <c r="D13" s="93" t="s">
        <v>208</v>
      </c>
      <c r="E13" s="94">
        <v>95</v>
      </c>
      <c r="F13" s="89" t="s">
        <v>191</v>
      </c>
      <c r="G13" s="102">
        <v>6.9690000000000003</v>
      </c>
      <c r="H13" s="103">
        <v>0.32800000000000001</v>
      </c>
      <c r="I13" s="103">
        <v>23.247</v>
      </c>
      <c r="J13" s="103">
        <v>7.5190000000000001</v>
      </c>
      <c r="K13" s="104">
        <v>3710</v>
      </c>
      <c r="L13" s="104">
        <v>7150</v>
      </c>
      <c r="M13" s="97">
        <v>714000</v>
      </c>
      <c r="N13" s="95">
        <v>560000</v>
      </c>
      <c r="O13" s="98" t="s">
        <v>209</v>
      </c>
      <c r="P13" s="100" t="s">
        <v>210</v>
      </c>
      <c r="Q13" s="105">
        <v>6.8440000000000003</v>
      </c>
    </row>
    <row r="14" spans="1:22" x14ac:dyDescent="0.25">
      <c r="A14" s="90">
        <v>14</v>
      </c>
      <c r="B14" s="91">
        <v>7.625</v>
      </c>
      <c r="C14" s="92">
        <v>26.4</v>
      </c>
      <c r="D14" s="93" t="s">
        <v>208</v>
      </c>
      <c r="E14" s="94">
        <v>95</v>
      </c>
      <c r="F14" s="89" t="s">
        <v>194</v>
      </c>
      <c r="G14" s="102">
        <v>6.9690000000000003</v>
      </c>
      <c r="H14" s="103">
        <v>0.32800000000000001</v>
      </c>
      <c r="I14" s="103">
        <v>23.247</v>
      </c>
      <c r="J14" s="103">
        <v>7.5190000000000001</v>
      </c>
      <c r="K14" s="104">
        <v>3710</v>
      </c>
      <c r="L14" s="104">
        <v>7150</v>
      </c>
      <c r="M14" s="97">
        <v>714000</v>
      </c>
      <c r="N14" s="95">
        <v>716000</v>
      </c>
      <c r="O14" s="98" t="s">
        <v>209</v>
      </c>
      <c r="P14" s="100" t="s">
        <v>211</v>
      </c>
      <c r="Q14" s="105">
        <v>6.8440000000000003</v>
      </c>
    </row>
    <row r="15" spans="1:22" x14ac:dyDescent="0.25">
      <c r="A15" s="90">
        <v>15</v>
      </c>
      <c r="B15" s="91">
        <v>7.625</v>
      </c>
      <c r="C15" s="92">
        <v>33.700000000000003</v>
      </c>
      <c r="D15" s="93" t="s">
        <v>202</v>
      </c>
      <c r="E15" s="94">
        <v>80</v>
      </c>
      <c r="F15" s="89" t="s">
        <v>191</v>
      </c>
      <c r="G15" s="102">
        <v>6.7649999999999997</v>
      </c>
      <c r="H15" s="103">
        <v>0.43</v>
      </c>
      <c r="I15" s="103">
        <v>17.733000000000001</v>
      </c>
      <c r="J15" s="103">
        <v>9.7200000000000006</v>
      </c>
      <c r="K15" s="104">
        <v>6560</v>
      </c>
      <c r="L15" s="104">
        <v>7900</v>
      </c>
      <c r="M15" s="97">
        <v>778000</v>
      </c>
      <c r="N15" s="95">
        <v>674000</v>
      </c>
      <c r="O15" s="98" t="s">
        <v>203</v>
      </c>
      <c r="P15" s="100" t="s">
        <v>212</v>
      </c>
      <c r="Q15" s="105">
        <v>6.64</v>
      </c>
    </row>
    <row r="16" spans="1:22" x14ac:dyDescent="0.25">
      <c r="A16" s="90">
        <v>16</v>
      </c>
      <c r="B16" s="91">
        <v>7.625</v>
      </c>
      <c r="C16" s="92">
        <v>33.700000000000003</v>
      </c>
      <c r="D16" s="93" t="s">
        <v>202</v>
      </c>
      <c r="E16" s="94">
        <v>80</v>
      </c>
      <c r="F16" s="89" t="s">
        <v>194</v>
      </c>
      <c r="G16" s="102">
        <v>6.7649999999999997</v>
      </c>
      <c r="H16" s="103">
        <v>0.43</v>
      </c>
      <c r="I16" s="103">
        <v>17.733000000000001</v>
      </c>
      <c r="J16" s="103">
        <v>9.7200000000000006</v>
      </c>
      <c r="K16" s="104">
        <v>6560</v>
      </c>
      <c r="L16" s="104">
        <v>7900</v>
      </c>
      <c r="M16" s="97">
        <v>778000</v>
      </c>
      <c r="N16" s="95">
        <v>852000</v>
      </c>
      <c r="O16" s="98" t="s">
        <v>203</v>
      </c>
      <c r="P16" s="100" t="s">
        <v>213</v>
      </c>
      <c r="Q16" s="105">
        <v>6.64</v>
      </c>
    </row>
    <row r="17" spans="1:17" x14ac:dyDescent="0.25">
      <c r="A17" s="90">
        <v>17</v>
      </c>
      <c r="B17" s="91">
        <v>7.625</v>
      </c>
      <c r="C17" s="92">
        <v>29.7</v>
      </c>
      <c r="D17" s="93" t="s">
        <v>208</v>
      </c>
      <c r="E17" s="94">
        <v>95</v>
      </c>
      <c r="F17" s="89" t="s">
        <v>191</v>
      </c>
      <c r="G17" s="102">
        <v>6.875</v>
      </c>
      <c r="H17" s="103">
        <v>0.375</v>
      </c>
      <c r="I17" s="103">
        <v>20.332999999999998</v>
      </c>
      <c r="J17" s="103">
        <v>8.5410000000000004</v>
      </c>
      <c r="K17" s="104">
        <v>5130</v>
      </c>
      <c r="L17" s="104">
        <v>8180</v>
      </c>
      <c r="M17" s="97">
        <v>811000</v>
      </c>
      <c r="N17" s="95">
        <v>659000</v>
      </c>
      <c r="O17" s="98" t="s">
        <v>209</v>
      </c>
      <c r="P17" s="100" t="s">
        <v>214</v>
      </c>
      <c r="Q17" s="105">
        <v>6.75</v>
      </c>
    </row>
    <row r="18" spans="1:17" x14ac:dyDescent="0.25">
      <c r="A18" s="90">
        <v>18</v>
      </c>
      <c r="B18" s="91">
        <v>7.625</v>
      </c>
      <c r="C18" s="92">
        <v>29.7</v>
      </c>
      <c r="D18" s="93" t="s">
        <v>208</v>
      </c>
      <c r="E18" s="94">
        <v>95</v>
      </c>
      <c r="F18" s="89" t="s">
        <v>194</v>
      </c>
      <c r="G18" s="102">
        <v>6.875</v>
      </c>
      <c r="H18" s="103">
        <v>0.375</v>
      </c>
      <c r="I18" s="103">
        <v>20.332999999999998</v>
      </c>
      <c r="J18" s="103">
        <v>8.5410000000000004</v>
      </c>
      <c r="K18" s="104">
        <v>5130</v>
      </c>
      <c r="L18" s="104">
        <v>8180</v>
      </c>
      <c r="M18" s="97">
        <v>811000</v>
      </c>
      <c r="N18" s="95">
        <v>813000</v>
      </c>
      <c r="O18" s="98" t="s">
        <v>209</v>
      </c>
      <c r="P18" s="100" t="s">
        <v>215</v>
      </c>
      <c r="Q18" s="105">
        <v>6.75</v>
      </c>
    </row>
    <row r="19" spans="1:17" x14ac:dyDescent="0.25">
      <c r="A19" s="90">
        <v>21</v>
      </c>
      <c r="B19" s="91">
        <v>7.625</v>
      </c>
      <c r="C19" s="95">
        <v>39</v>
      </c>
      <c r="D19" s="93" t="s">
        <v>202</v>
      </c>
      <c r="E19" s="94">
        <v>80</v>
      </c>
      <c r="F19" s="89" t="s">
        <v>191</v>
      </c>
      <c r="G19" s="102">
        <v>6.625</v>
      </c>
      <c r="H19" s="103">
        <v>0.5</v>
      </c>
      <c r="I19" s="103">
        <v>15.25</v>
      </c>
      <c r="J19" s="103">
        <v>11.192</v>
      </c>
      <c r="K19" s="104">
        <v>8820</v>
      </c>
      <c r="L19" s="104">
        <v>9180</v>
      </c>
      <c r="M19" s="97">
        <v>895000</v>
      </c>
      <c r="N19" s="95">
        <v>798000</v>
      </c>
      <c r="O19" s="98" t="s">
        <v>203</v>
      </c>
      <c r="P19" s="100" t="s">
        <v>216</v>
      </c>
      <c r="Q19" s="105">
        <v>6.5</v>
      </c>
    </row>
    <row r="20" spans="1:17" x14ac:dyDescent="0.25">
      <c r="A20" s="90">
        <v>22</v>
      </c>
      <c r="B20" s="91">
        <v>7.625</v>
      </c>
      <c r="C20" s="95">
        <v>39</v>
      </c>
      <c r="D20" s="93" t="s">
        <v>202</v>
      </c>
      <c r="E20" s="94">
        <v>80</v>
      </c>
      <c r="F20" s="89" t="s">
        <v>194</v>
      </c>
      <c r="G20" s="102">
        <v>6.625</v>
      </c>
      <c r="H20" s="103">
        <v>0.5</v>
      </c>
      <c r="I20" s="103">
        <v>15.25</v>
      </c>
      <c r="J20" s="103">
        <v>11.192</v>
      </c>
      <c r="K20" s="104">
        <v>8820</v>
      </c>
      <c r="L20" s="104">
        <v>9180</v>
      </c>
      <c r="M20" s="97">
        <v>895000</v>
      </c>
      <c r="N20" s="95">
        <v>981000</v>
      </c>
      <c r="O20" s="98" t="s">
        <v>203</v>
      </c>
      <c r="P20" s="100" t="s">
        <v>217</v>
      </c>
      <c r="Q20" s="105">
        <v>6.5</v>
      </c>
    </row>
    <row r="21" spans="1:17" x14ac:dyDescent="0.25">
      <c r="A21" s="90">
        <v>23</v>
      </c>
      <c r="B21" s="91">
        <v>7.625</v>
      </c>
      <c r="C21" s="92">
        <v>33.700000000000003</v>
      </c>
      <c r="D21" s="93" t="s">
        <v>208</v>
      </c>
      <c r="E21" s="94">
        <v>95</v>
      </c>
      <c r="F21" s="89" t="s">
        <v>191</v>
      </c>
      <c r="G21" s="102">
        <v>6.7649999999999997</v>
      </c>
      <c r="H21" s="103">
        <v>0.43</v>
      </c>
      <c r="I21" s="103">
        <v>17.733000000000001</v>
      </c>
      <c r="J21" s="103">
        <v>9.7200000000000006</v>
      </c>
      <c r="K21" s="104">
        <v>7280</v>
      </c>
      <c r="L21" s="104">
        <v>9380</v>
      </c>
      <c r="M21" s="97">
        <v>923000</v>
      </c>
      <c r="N21" s="95">
        <v>772000</v>
      </c>
      <c r="O21" s="98" t="s">
        <v>209</v>
      </c>
      <c r="P21" s="100" t="s">
        <v>218</v>
      </c>
      <c r="Q21" s="105">
        <v>6.64</v>
      </c>
    </row>
    <row r="22" spans="1:17" x14ac:dyDescent="0.25">
      <c r="A22" s="90">
        <v>24</v>
      </c>
      <c r="B22" s="91">
        <v>7.625</v>
      </c>
      <c r="C22" s="92">
        <v>33.700000000000003</v>
      </c>
      <c r="D22" s="93" t="s">
        <v>208</v>
      </c>
      <c r="E22" s="94">
        <v>95</v>
      </c>
      <c r="F22" s="89" t="s">
        <v>194</v>
      </c>
      <c r="G22" s="102">
        <v>6.7649999999999997</v>
      </c>
      <c r="H22" s="103">
        <v>0.43</v>
      </c>
      <c r="I22" s="103">
        <v>17.733000000000001</v>
      </c>
      <c r="J22" s="103">
        <v>9.7200000000000006</v>
      </c>
      <c r="K22" s="104">
        <v>7280</v>
      </c>
      <c r="L22" s="104">
        <v>9380</v>
      </c>
      <c r="M22" s="97">
        <v>923000</v>
      </c>
      <c r="N22" s="95">
        <v>925000</v>
      </c>
      <c r="O22" s="98" t="s">
        <v>209</v>
      </c>
      <c r="P22" s="100" t="s">
        <v>219</v>
      </c>
      <c r="Q22" s="105">
        <v>6.64</v>
      </c>
    </row>
    <row r="23" spans="1:17" x14ac:dyDescent="0.25">
      <c r="A23" s="90">
        <v>25</v>
      </c>
      <c r="B23" s="91">
        <v>7.625</v>
      </c>
      <c r="C23" s="92">
        <v>29.7</v>
      </c>
      <c r="D23" s="93" t="s">
        <v>220</v>
      </c>
      <c r="E23" s="94">
        <v>110</v>
      </c>
      <c r="F23" s="89" t="s">
        <v>191</v>
      </c>
      <c r="G23" s="102">
        <v>6.875</v>
      </c>
      <c r="H23" s="103">
        <v>0.375</v>
      </c>
      <c r="I23" s="103">
        <v>20.332999999999998</v>
      </c>
      <c r="J23" s="103">
        <v>8.5410000000000004</v>
      </c>
      <c r="K23" s="104">
        <v>5350</v>
      </c>
      <c r="L23" s="104">
        <v>9470</v>
      </c>
      <c r="M23" s="97">
        <v>940000</v>
      </c>
      <c r="N23" s="95">
        <v>769000</v>
      </c>
      <c r="O23" s="98" t="s">
        <v>221</v>
      </c>
      <c r="P23" s="100" t="s">
        <v>219</v>
      </c>
      <c r="Q23" s="105">
        <v>6.75</v>
      </c>
    </row>
    <row r="24" spans="1:17" x14ac:dyDescent="0.25">
      <c r="A24" s="90">
        <v>26</v>
      </c>
      <c r="B24" s="91">
        <v>7.625</v>
      </c>
      <c r="C24" s="92">
        <v>29.7</v>
      </c>
      <c r="D24" s="93" t="s">
        <v>220</v>
      </c>
      <c r="E24" s="94">
        <v>110</v>
      </c>
      <c r="F24" s="89" t="s">
        <v>194</v>
      </c>
      <c r="G24" s="102">
        <v>6.875</v>
      </c>
      <c r="H24" s="103">
        <v>0.375</v>
      </c>
      <c r="I24" s="103">
        <v>20.332999999999998</v>
      </c>
      <c r="J24" s="103">
        <v>8.5410000000000004</v>
      </c>
      <c r="K24" s="104">
        <v>5350</v>
      </c>
      <c r="L24" s="104">
        <v>9470</v>
      </c>
      <c r="M24" s="97">
        <v>940000</v>
      </c>
      <c r="N24" s="95">
        <v>960000</v>
      </c>
      <c r="O24" s="98" t="s">
        <v>221</v>
      </c>
      <c r="P24" s="100" t="s">
        <v>222</v>
      </c>
      <c r="Q24" s="105">
        <v>6.75</v>
      </c>
    </row>
    <row r="25" spans="1:17" x14ac:dyDescent="0.25">
      <c r="A25" s="90">
        <v>27</v>
      </c>
      <c r="B25" s="91">
        <v>7.625</v>
      </c>
      <c r="C25" s="92">
        <v>42.8</v>
      </c>
      <c r="D25" s="93" t="s">
        <v>202</v>
      </c>
      <c r="E25" s="94">
        <v>80</v>
      </c>
      <c r="F25" s="89" t="s">
        <v>191</v>
      </c>
      <c r="G25" s="102">
        <v>6.5010000000000003</v>
      </c>
      <c r="H25" s="103">
        <v>0.56200000000000006</v>
      </c>
      <c r="I25" s="103">
        <v>13.568</v>
      </c>
      <c r="J25" s="103">
        <v>12.47</v>
      </c>
      <c r="K25" s="104">
        <v>10810</v>
      </c>
      <c r="L25" s="104">
        <v>10320</v>
      </c>
      <c r="M25" s="97">
        <v>998000</v>
      </c>
      <c r="N25" s="95">
        <v>905000</v>
      </c>
      <c r="O25" s="98" t="s">
        <v>203</v>
      </c>
      <c r="P25" s="100" t="s">
        <v>223</v>
      </c>
      <c r="Q25" s="105">
        <v>6.3760000000000003</v>
      </c>
    </row>
    <row r="26" spans="1:17" x14ac:dyDescent="0.25">
      <c r="A26" s="90">
        <v>28</v>
      </c>
      <c r="B26" s="91">
        <v>7.625</v>
      </c>
      <c r="C26" s="92">
        <v>42.8</v>
      </c>
      <c r="D26" s="93" t="s">
        <v>202</v>
      </c>
      <c r="E26" s="94">
        <v>80</v>
      </c>
      <c r="F26" s="89" t="s">
        <v>194</v>
      </c>
      <c r="G26" s="102">
        <v>6.5010000000000003</v>
      </c>
      <c r="H26" s="103">
        <v>0.56200000000000006</v>
      </c>
      <c r="I26" s="103">
        <v>13.568</v>
      </c>
      <c r="J26" s="103">
        <v>12.47</v>
      </c>
      <c r="K26" s="104">
        <v>10810</v>
      </c>
      <c r="L26" s="104">
        <v>10320</v>
      </c>
      <c r="M26" s="97">
        <v>998000</v>
      </c>
      <c r="N26" s="95">
        <v>1093000</v>
      </c>
      <c r="O26" s="98" t="s">
        <v>203</v>
      </c>
      <c r="P26" s="100" t="s">
        <v>224</v>
      </c>
      <c r="Q26" s="105">
        <v>6.3760000000000003</v>
      </c>
    </row>
    <row r="27" spans="1:17" x14ac:dyDescent="0.25">
      <c r="A27" s="90">
        <v>29</v>
      </c>
      <c r="B27" s="91">
        <v>7.625</v>
      </c>
      <c r="C27" s="92">
        <v>45.3</v>
      </c>
      <c r="D27" s="93" t="s">
        <v>202</v>
      </c>
      <c r="E27" s="94">
        <v>80</v>
      </c>
      <c r="F27" s="89" t="s">
        <v>191</v>
      </c>
      <c r="G27" s="102">
        <v>6.4349999999999996</v>
      </c>
      <c r="H27" s="103">
        <v>0.59499999999999997</v>
      </c>
      <c r="I27" s="103">
        <v>12.815</v>
      </c>
      <c r="J27" s="103">
        <v>13.141</v>
      </c>
      <c r="K27" s="104">
        <v>11510</v>
      </c>
      <c r="L27" s="104">
        <v>10920</v>
      </c>
      <c r="M27" s="97">
        <v>1051000</v>
      </c>
      <c r="N27" s="95">
        <v>962000</v>
      </c>
      <c r="O27" s="98" t="s">
        <v>203</v>
      </c>
      <c r="P27" s="100" t="s">
        <v>225</v>
      </c>
      <c r="Q27" s="105">
        <v>6.31</v>
      </c>
    </row>
    <row r="28" spans="1:17" x14ac:dyDescent="0.25">
      <c r="A28" s="90">
        <v>30</v>
      </c>
      <c r="B28" s="91">
        <v>7.625</v>
      </c>
      <c r="C28" s="92">
        <v>45.3</v>
      </c>
      <c r="D28" s="93" t="s">
        <v>202</v>
      </c>
      <c r="E28" s="94">
        <v>80</v>
      </c>
      <c r="F28" s="89" t="s">
        <v>194</v>
      </c>
      <c r="G28" s="102">
        <v>6.4349999999999996</v>
      </c>
      <c r="H28" s="103">
        <v>0.59499999999999997</v>
      </c>
      <c r="I28" s="103">
        <v>12.815</v>
      </c>
      <c r="J28" s="103">
        <v>13.141</v>
      </c>
      <c r="K28" s="104">
        <v>11510</v>
      </c>
      <c r="L28" s="104">
        <v>10920</v>
      </c>
      <c r="M28" s="97">
        <v>1051000</v>
      </c>
      <c r="N28" s="95">
        <v>1152000</v>
      </c>
      <c r="O28" s="98" t="s">
        <v>203</v>
      </c>
      <c r="P28" s="100" t="s">
        <v>226</v>
      </c>
      <c r="Q28" s="105">
        <v>6.31</v>
      </c>
    </row>
    <row r="29" spans="1:17" x14ac:dyDescent="0.25">
      <c r="A29" s="90">
        <v>31</v>
      </c>
      <c r="B29" s="91">
        <v>7.625</v>
      </c>
      <c r="C29" s="95">
        <v>39</v>
      </c>
      <c r="D29" s="93" t="s">
        <v>208</v>
      </c>
      <c r="E29" s="94">
        <v>95</v>
      </c>
      <c r="F29" s="89" t="s">
        <v>191</v>
      </c>
      <c r="G29" s="102">
        <v>6.625</v>
      </c>
      <c r="H29" s="103">
        <v>0.5</v>
      </c>
      <c r="I29" s="103">
        <v>15.25</v>
      </c>
      <c r="J29" s="103">
        <v>11.192</v>
      </c>
      <c r="K29" s="104">
        <v>10000</v>
      </c>
      <c r="L29" s="104">
        <v>10900</v>
      </c>
      <c r="M29" s="97">
        <v>1063000</v>
      </c>
      <c r="N29" s="95">
        <v>914000</v>
      </c>
      <c r="O29" s="98" t="s">
        <v>209</v>
      </c>
      <c r="P29" s="100" t="s">
        <v>227</v>
      </c>
      <c r="Q29" s="105">
        <v>6.5</v>
      </c>
    </row>
    <row r="30" spans="1:17" x14ac:dyDescent="0.25">
      <c r="A30" s="90">
        <v>32</v>
      </c>
      <c r="B30" s="91">
        <v>7.625</v>
      </c>
      <c r="C30" s="92">
        <v>33.700000000000003</v>
      </c>
      <c r="D30" s="93" t="s">
        <v>220</v>
      </c>
      <c r="E30" s="94">
        <v>110</v>
      </c>
      <c r="F30" s="89" t="s">
        <v>191</v>
      </c>
      <c r="G30" s="102">
        <v>6.7649999999999997</v>
      </c>
      <c r="H30" s="103">
        <v>0.43</v>
      </c>
      <c r="I30" s="103">
        <v>17.733000000000001</v>
      </c>
      <c r="J30" s="103">
        <v>9.7200000000000006</v>
      </c>
      <c r="K30" s="104">
        <v>7870</v>
      </c>
      <c r="L30" s="104">
        <v>10860</v>
      </c>
      <c r="M30" s="97">
        <v>1069000</v>
      </c>
      <c r="N30" s="95">
        <v>901000</v>
      </c>
      <c r="O30" s="98" t="s">
        <v>221</v>
      </c>
      <c r="P30" s="100" t="s">
        <v>228</v>
      </c>
      <c r="Q30" s="105">
        <v>6.64</v>
      </c>
    </row>
    <row r="31" spans="1:17" x14ac:dyDescent="0.25">
      <c r="A31" s="90">
        <v>33</v>
      </c>
      <c r="B31" s="91">
        <v>7.625</v>
      </c>
      <c r="C31" s="95">
        <v>39</v>
      </c>
      <c r="D31" s="93" t="s">
        <v>208</v>
      </c>
      <c r="E31" s="94">
        <v>95</v>
      </c>
      <c r="F31" s="89" t="s">
        <v>194</v>
      </c>
      <c r="G31" s="102">
        <v>6.625</v>
      </c>
      <c r="H31" s="103">
        <v>0.5</v>
      </c>
      <c r="I31" s="103">
        <v>15.25</v>
      </c>
      <c r="J31" s="103">
        <v>11.192</v>
      </c>
      <c r="K31" s="104">
        <v>10000</v>
      </c>
      <c r="L31" s="104">
        <v>10900</v>
      </c>
      <c r="M31" s="97">
        <v>1063000</v>
      </c>
      <c r="N31" s="95">
        <v>1065000</v>
      </c>
      <c r="O31" s="98" t="s">
        <v>209</v>
      </c>
      <c r="P31" s="100" t="s">
        <v>229</v>
      </c>
      <c r="Q31" s="105">
        <v>6.5</v>
      </c>
    </row>
    <row r="32" spans="1:17" x14ac:dyDescent="0.25">
      <c r="A32" s="90">
        <v>34</v>
      </c>
      <c r="B32" s="91">
        <v>7.625</v>
      </c>
      <c r="C32" s="92">
        <v>33.700000000000003</v>
      </c>
      <c r="D32" s="93" t="s">
        <v>220</v>
      </c>
      <c r="E32" s="94">
        <v>110</v>
      </c>
      <c r="F32" s="89" t="s">
        <v>194</v>
      </c>
      <c r="G32" s="102">
        <v>6.7649999999999997</v>
      </c>
      <c r="H32" s="103">
        <v>0.43</v>
      </c>
      <c r="I32" s="103">
        <v>17.733000000000001</v>
      </c>
      <c r="J32" s="103">
        <v>9.7200000000000006</v>
      </c>
      <c r="K32" s="104">
        <v>7870</v>
      </c>
      <c r="L32" s="104">
        <v>10860</v>
      </c>
      <c r="M32" s="97">
        <v>1069000</v>
      </c>
      <c r="N32" s="95">
        <v>1093000</v>
      </c>
      <c r="O32" s="98" t="s">
        <v>221</v>
      </c>
      <c r="P32" s="100" t="s">
        <v>230</v>
      </c>
      <c r="Q32" s="105">
        <v>6.64</v>
      </c>
    </row>
    <row r="33" spans="1:17" x14ac:dyDescent="0.25">
      <c r="A33" s="90">
        <v>35</v>
      </c>
      <c r="B33" s="91">
        <v>7.625</v>
      </c>
      <c r="C33" s="92">
        <v>42.8</v>
      </c>
      <c r="D33" s="93" t="s">
        <v>208</v>
      </c>
      <c r="E33" s="94">
        <v>95</v>
      </c>
      <c r="F33" s="89" t="s">
        <v>191</v>
      </c>
      <c r="G33" s="102">
        <v>6.5010000000000003</v>
      </c>
      <c r="H33" s="103">
        <v>0.56200000000000006</v>
      </c>
      <c r="I33" s="103">
        <v>13.568</v>
      </c>
      <c r="J33" s="103">
        <v>12.47</v>
      </c>
      <c r="K33" s="104">
        <v>12410</v>
      </c>
      <c r="L33" s="104">
        <v>12250</v>
      </c>
      <c r="M33" s="97">
        <v>1185000</v>
      </c>
      <c r="N33" s="95">
        <v>1037000</v>
      </c>
      <c r="O33" s="98" t="s">
        <v>209</v>
      </c>
      <c r="P33" s="100" t="s">
        <v>231</v>
      </c>
      <c r="Q33" s="105">
        <v>6.3760000000000003</v>
      </c>
    </row>
    <row r="34" spans="1:17" x14ac:dyDescent="0.25">
      <c r="A34" s="90">
        <v>36</v>
      </c>
      <c r="B34" s="91">
        <v>7.625</v>
      </c>
      <c r="C34" s="92">
        <v>42.8</v>
      </c>
      <c r="D34" s="93" t="s">
        <v>208</v>
      </c>
      <c r="E34" s="94">
        <v>95</v>
      </c>
      <c r="F34" s="89" t="s">
        <v>194</v>
      </c>
      <c r="G34" s="102">
        <v>6.5010000000000003</v>
      </c>
      <c r="H34" s="103">
        <v>0.56200000000000006</v>
      </c>
      <c r="I34" s="103">
        <v>13.568</v>
      </c>
      <c r="J34" s="103">
        <v>12.47</v>
      </c>
      <c r="K34" s="104">
        <v>12410</v>
      </c>
      <c r="L34" s="104">
        <v>12250</v>
      </c>
      <c r="M34" s="97">
        <v>1185000</v>
      </c>
      <c r="N34" s="95">
        <v>1187000</v>
      </c>
      <c r="O34" s="98" t="s">
        <v>209</v>
      </c>
      <c r="P34" s="100" t="s">
        <v>232</v>
      </c>
      <c r="Q34" s="105">
        <v>6.3760000000000003</v>
      </c>
    </row>
    <row r="35" spans="1:17" x14ac:dyDescent="0.25">
      <c r="A35" s="90">
        <v>37</v>
      </c>
      <c r="B35" s="91">
        <v>7.625</v>
      </c>
      <c r="C35" s="95">
        <v>39</v>
      </c>
      <c r="D35" s="93" t="s">
        <v>220</v>
      </c>
      <c r="E35" s="94">
        <v>110</v>
      </c>
      <c r="F35" s="89" t="s">
        <v>191</v>
      </c>
      <c r="G35" s="102">
        <v>6.625</v>
      </c>
      <c r="H35" s="103">
        <v>0.5</v>
      </c>
      <c r="I35" s="103">
        <v>15.25</v>
      </c>
      <c r="J35" s="103">
        <v>11.192</v>
      </c>
      <c r="K35" s="104">
        <v>11080</v>
      </c>
      <c r="L35" s="104">
        <v>12620</v>
      </c>
      <c r="M35" s="97">
        <v>1231000</v>
      </c>
      <c r="N35" s="95">
        <v>1066000</v>
      </c>
      <c r="O35" s="98" t="s">
        <v>221</v>
      </c>
      <c r="P35" s="100" t="s">
        <v>233</v>
      </c>
      <c r="Q35" s="105">
        <v>6.5</v>
      </c>
    </row>
    <row r="36" spans="1:17" x14ac:dyDescent="0.25">
      <c r="A36" s="90">
        <v>38</v>
      </c>
      <c r="B36" s="91">
        <v>7.625</v>
      </c>
      <c r="C36" s="92">
        <v>45.3</v>
      </c>
      <c r="D36" s="93" t="s">
        <v>208</v>
      </c>
      <c r="E36" s="94">
        <v>95</v>
      </c>
      <c r="F36" s="89" t="s">
        <v>191</v>
      </c>
      <c r="G36" s="102">
        <v>6.4349999999999996</v>
      </c>
      <c r="H36" s="103">
        <v>0.59499999999999997</v>
      </c>
      <c r="I36" s="103">
        <v>12.815</v>
      </c>
      <c r="J36" s="103">
        <v>13.141</v>
      </c>
      <c r="K36" s="104">
        <v>13670</v>
      </c>
      <c r="L36" s="104">
        <v>12970</v>
      </c>
      <c r="M36" s="97">
        <v>1248000</v>
      </c>
      <c r="N36" s="95">
        <v>1101000</v>
      </c>
      <c r="O36" s="98" t="s">
        <v>209</v>
      </c>
      <c r="P36" s="100" t="s">
        <v>234</v>
      </c>
      <c r="Q36" s="105">
        <v>6.31</v>
      </c>
    </row>
    <row r="37" spans="1:17" x14ac:dyDescent="0.25">
      <c r="A37" s="90">
        <v>39</v>
      </c>
      <c r="B37" s="91">
        <v>7.625</v>
      </c>
      <c r="C37" s="95">
        <v>39</v>
      </c>
      <c r="D37" s="93" t="s">
        <v>220</v>
      </c>
      <c r="E37" s="94">
        <v>110</v>
      </c>
      <c r="F37" s="89" t="s">
        <v>194</v>
      </c>
      <c r="G37" s="102">
        <v>6.625</v>
      </c>
      <c r="H37" s="103">
        <v>0.5</v>
      </c>
      <c r="I37" s="103">
        <v>15.25</v>
      </c>
      <c r="J37" s="103">
        <v>11.192</v>
      </c>
      <c r="K37" s="104">
        <v>11080</v>
      </c>
      <c r="L37" s="104">
        <v>12620</v>
      </c>
      <c r="M37" s="97">
        <v>1231000</v>
      </c>
      <c r="N37" s="95">
        <v>1258000</v>
      </c>
      <c r="O37" s="98" t="s">
        <v>221</v>
      </c>
      <c r="P37" s="100" t="s">
        <v>235</v>
      </c>
      <c r="Q37" s="105">
        <v>6.5</v>
      </c>
    </row>
    <row r="38" spans="1:17" x14ac:dyDescent="0.25">
      <c r="A38" s="90">
        <v>40</v>
      </c>
      <c r="B38" s="91">
        <v>7.625</v>
      </c>
      <c r="C38" s="92">
        <v>45.3</v>
      </c>
      <c r="D38" s="93" t="s">
        <v>208</v>
      </c>
      <c r="E38" s="94">
        <v>95</v>
      </c>
      <c r="F38" s="89" t="s">
        <v>194</v>
      </c>
      <c r="G38" s="102">
        <v>6.4349999999999996</v>
      </c>
      <c r="H38" s="103">
        <v>0.59499999999999997</v>
      </c>
      <c r="I38" s="103">
        <v>12.815</v>
      </c>
      <c r="J38" s="103">
        <v>13.141</v>
      </c>
      <c r="K38" s="104">
        <v>13670</v>
      </c>
      <c r="L38" s="104">
        <v>12970</v>
      </c>
      <c r="M38" s="97">
        <v>1248000</v>
      </c>
      <c r="N38" s="95">
        <v>1251000</v>
      </c>
      <c r="O38" s="98" t="s">
        <v>209</v>
      </c>
      <c r="P38" s="100" t="s">
        <v>236</v>
      </c>
      <c r="Q38" s="105">
        <v>6.31</v>
      </c>
    </row>
    <row r="39" spans="1:17" x14ac:dyDescent="0.25">
      <c r="A39" s="90">
        <v>41</v>
      </c>
      <c r="B39" s="91">
        <v>7.625</v>
      </c>
      <c r="C39" s="92">
        <v>42.8</v>
      </c>
      <c r="D39" s="93" t="s">
        <v>220</v>
      </c>
      <c r="E39" s="94">
        <v>110</v>
      </c>
      <c r="F39" s="89" t="s">
        <v>191</v>
      </c>
      <c r="G39" s="102">
        <v>6.5010000000000003</v>
      </c>
      <c r="H39" s="103">
        <v>0.56200000000000006</v>
      </c>
      <c r="I39" s="103">
        <v>13.568</v>
      </c>
      <c r="J39" s="103">
        <v>12.47</v>
      </c>
      <c r="K39" s="104">
        <v>13930</v>
      </c>
      <c r="L39" s="104">
        <v>14190</v>
      </c>
      <c r="M39" s="97">
        <v>1372000</v>
      </c>
      <c r="N39" s="95">
        <v>1210000</v>
      </c>
      <c r="O39" s="98" t="s">
        <v>221</v>
      </c>
      <c r="P39" s="100" t="s">
        <v>237</v>
      </c>
      <c r="Q39" s="105">
        <v>6.3760000000000003</v>
      </c>
    </row>
    <row r="40" spans="1:17" x14ac:dyDescent="0.25">
      <c r="A40" s="90">
        <v>42</v>
      </c>
      <c r="B40" s="91">
        <v>7.625</v>
      </c>
      <c r="C40" s="92">
        <v>42.8</v>
      </c>
      <c r="D40" s="93" t="s">
        <v>220</v>
      </c>
      <c r="E40" s="94">
        <v>110</v>
      </c>
      <c r="F40" s="89" t="s">
        <v>194</v>
      </c>
      <c r="G40" s="102">
        <v>6.5010000000000003</v>
      </c>
      <c r="H40" s="103">
        <v>0.56200000000000006</v>
      </c>
      <c r="I40" s="103">
        <v>13.568</v>
      </c>
      <c r="J40" s="103">
        <v>12.47</v>
      </c>
      <c r="K40" s="104">
        <v>13930</v>
      </c>
      <c r="L40" s="104">
        <v>14190</v>
      </c>
      <c r="M40" s="97">
        <v>1372000</v>
      </c>
      <c r="N40" s="95">
        <v>1402000</v>
      </c>
      <c r="O40" s="98" t="s">
        <v>221</v>
      </c>
      <c r="P40" s="100" t="s">
        <v>238</v>
      </c>
      <c r="Q40" s="105">
        <v>6.3760000000000003</v>
      </c>
    </row>
    <row r="41" spans="1:17" x14ac:dyDescent="0.25">
      <c r="A41" s="90">
        <v>43</v>
      </c>
      <c r="B41" s="91">
        <v>7.625</v>
      </c>
      <c r="C41" s="92">
        <v>45.3</v>
      </c>
      <c r="D41" s="93" t="s">
        <v>220</v>
      </c>
      <c r="E41" s="94">
        <v>110</v>
      </c>
      <c r="F41" s="89" t="s">
        <v>191</v>
      </c>
      <c r="G41" s="102">
        <v>6.4349999999999996</v>
      </c>
      <c r="H41" s="103">
        <v>0.59499999999999997</v>
      </c>
      <c r="I41" s="103">
        <v>12.815</v>
      </c>
      <c r="J41" s="103">
        <v>13.141</v>
      </c>
      <c r="K41" s="104">
        <v>15440</v>
      </c>
      <c r="L41" s="104">
        <v>15020</v>
      </c>
      <c r="M41" s="97">
        <v>1445000</v>
      </c>
      <c r="N41" s="95">
        <v>1285000</v>
      </c>
      <c r="O41" s="98" t="s">
        <v>221</v>
      </c>
      <c r="P41" s="100" t="s">
        <v>239</v>
      </c>
      <c r="Q41" s="105">
        <v>6.31</v>
      </c>
    </row>
    <row r="42" spans="1:17" x14ac:dyDescent="0.25">
      <c r="A42" s="90">
        <v>44</v>
      </c>
      <c r="B42" s="91">
        <v>7.625</v>
      </c>
      <c r="C42" s="92">
        <v>45.3</v>
      </c>
      <c r="D42" s="93" t="s">
        <v>220</v>
      </c>
      <c r="E42" s="94">
        <v>110</v>
      </c>
      <c r="F42" s="89" t="s">
        <v>194</v>
      </c>
      <c r="G42" s="102">
        <v>6.4349999999999996</v>
      </c>
      <c r="H42" s="103">
        <v>0.59499999999999997</v>
      </c>
      <c r="I42" s="103">
        <v>12.815</v>
      </c>
      <c r="J42" s="103">
        <v>13.141</v>
      </c>
      <c r="K42" s="104">
        <v>15440</v>
      </c>
      <c r="L42" s="104">
        <v>15020</v>
      </c>
      <c r="M42" s="97">
        <v>1445000</v>
      </c>
      <c r="N42" s="95">
        <v>1477000</v>
      </c>
      <c r="O42" s="98" t="s">
        <v>221</v>
      </c>
      <c r="P42" s="100" t="s">
        <v>240</v>
      </c>
      <c r="Q42" s="105">
        <v>6.31</v>
      </c>
    </row>
    <row r="43" spans="1:17" x14ac:dyDescent="0.25">
      <c r="A43" s="90">
        <v>1</v>
      </c>
      <c r="B43" s="96"/>
      <c r="C43" s="97">
        <v>3</v>
      </c>
      <c r="D43" s="90">
        <v>4</v>
      </c>
      <c r="E43" s="90">
        <v>5</v>
      </c>
      <c r="F43" s="97">
        <v>6</v>
      </c>
      <c r="G43" s="97">
        <v>7</v>
      </c>
      <c r="H43" s="97">
        <v>8</v>
      </c>
      <c r="I43" s="97">
        <v>9</v>
      </c>
      <c r="J43" s="97">
        <v>10</v>
      </c>
      <c r="K43" s="97">
        <v>11</v>
      </c>
      <c r="L43" s="97">
        <v>12</v>
      </c>
      <c r="M43" s="97">
        <v>13</v>
      </c>
      <c r="N43" s="97">
        <v>14</v>
      </c>
      <c r="O43" s="97">
        <v>15</v>
      </c>
      <c r="P43" s="97">
        <v>16</v>
      </c>
      <c r="Q43" s="106">
        <v>17</v>
      </c>
    </row>
  </sheetData>
  <mergeCells count="2">
    <mergeCell ref="A1:Q1"/>
    <mergeCell ref="D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7"/>
  <sheetViews>
    <sheetView zoomScale="85" zoomScaleNormal="85" workbookViewId="0">
      <selection activeCell="J34" sqref="J34:J37"/>
    </sheetView>
  </sheetViews>
  <sheetFormatPr defaultRowHeight="15.75" x14ac:dyDescent="0.25"/>
  <sheetData>
    <row r="1" spans="1:17" ht="25.5" customHeight="1" x14ac:dyDescent="0.25">
      <c r="A1" s="193" t="s">
        <v>51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5"/>
    </row>
    <row r="2" spans="1:17" ht="25.5" x14ac:dyDescent="0.25">
      <c r="A2" s="16" t="s">
        <v>110</v>
      </c>
      <c r="B2" s="17" t="s">
        <v>111</v>
      </c>
      <c r="C2" s="17" t="s">
        <v>112</v>
      </c>
      <c r="D2" s="17" t="s">
        <v>113</v>
      </c>
      <c r="E2" s="18" t="s">
        <v>3</v>
      </c>
      <c r="F2" s="17" t="s">
        <v>114</v>
      </c>
      <c r="G2" s="17" t="s">
        <v>115</v>
      </c>
      <c r="H2" s="19" t="s">
        <v>116</v>
      </c>
      <c r="I2" s="19" t="s">
        <v>117</v>
      </c>
      <c r="J2" s="19" t="s">
        <v>118</v>
      </c>
      <c r="K2" s="20" t="s">
        <v>119</v>
      </c>
      <c r="L2" s="20" t="s">
        <v>120</v>
      </c>
      <c r="M2" s="19" t="s">
        <v>121</v>
      </c>
      <c r="N2" s="21" t="s">
        <v>122</v>
      </c>
      <c r="O2" s="19" t="s">
        <v>113</v>
      </c>
      <c r="P2" s="22" t="s">
        <v>123</v>
      </c>
      <c r="Q2" s="19" t="s">
        <v>124</v>
      </c>
    </row>
    <row r="3" spans="1:17" x14ac:dyDescent="0.25">
      <c r="A3" s="23">
        <v>1</v>
      </c>
      <c r="B3" s="24">
        <v>4.5</v>
      </c>
      <c r="C3" s="25">
        <v>9.5</v>
      </c>
      <c r="D3" s="26" t="s">
        <v>4</v>
      </c>
      <c r="E3" s="27">
        <v>55</v>
      </c>
      <c r="F3" s="26" t="s">
        <v>5</v>
      </c>
      <c r="G3" s="24">
        <v>4.09</v>
      </c>
      <c r="H3" s="28">
        <v>0.20499999999999999</v>
      </c>
      <c r="I3" s="28">
        <v>21.951000000000001</v>
      </c>
      <c r="J3" s="28">
        <v>2.766</v>
      </c>
      <c r="K3" s="29">
        <v>3310</v>
      </c>
      <c r="L3" s="29">
        <v>4380</v>
      </c>
      <c r="M3" s="23">
        <v>152000</v>
      </c>
      <c r="N3" s="27">
        <v>112000</v>
      </c>
      <c r="O3" s="30" t="s">
        <v>6</v>
      </c>
      <c r="P3" s="31" t="s">
        <v>7</v>
      </c>
      <c r="Q3" s="28">
        <v>3.9649999999999999</v>
      </c>
    </row>
    <row r="4" spans="1:17" x14ac:dyDescent="0.25">
      <c r="A4" s="23">
        <v>2</v>
      </c>
      <c r="B4" s="24">
        <v>4.5</v>
      </c>
      <c r="C4" s="25">
        <v>10.5</v>
      </c>
      <c r="D4" s="26" t="s">
        <v>4</v>
      </c>
      <c r="E4" s="27">
        <v>55</v>
      </c>
      <c r="F4" s="26" t="s">
        <v>5</v>
      </c>
      <c r="G4" s="24">
        <v>4.0519999999999996</v>
      </c>
      <c r="H4" s="28">
        <v>0.224</v>
      </c>
      <c r="I4" s="28">
        <v>20.088999999999999</v>
      </c>
      <c r="J4" s="28">
        <v>3.0089999999999999</v>
      </c>
      <c r="K4" s="29">
        <v>4010</v>
      </c>
      <c r="L4" s="29">
        <v>4790</v>
      </c>
      <c r="M4" s="23">
        <v>166000</v>
      </c>
      <c r="N4" s="27">
        <v>146000</v>
      </c>
      <c r="O4" s="30" t="s">
        <v>6</v>
      </c>
      <c r="P4" s="31" t="s">
        <v>8</v>
      </c>
      <c r="Q4" s="28">
        <v>3.927</v>
      </c>
    </row>
    <row r="5" spans="1:17" x14ac:dyDescent="0.25">
      <c r="A5" s="23">
        <v>3</v>
      </c>
      <c r="B5" s="24">
        <v>4.5</v>
      </c>
      <c r="C5" s="25">
        <v>10.5</v>
      </c>
      <c r="D5" s="26" t="s">
        <v>4</v>
      </c>
      <c r="E5" s="27">
        <v>55</v>
      </c>
      <c r="F5" s="26" t="s">
        <v>9</v>
      </c>
      <c r="G5" s="24">
        <v>4.0519999999999996</v>
      </c>
      <c r="H5" s="28">
        <v>0.224</v>
      </c>
      <c r="I5" s="28">
        <v>20.088999999999999</v>
      </c>
      <c r="J5" s="28">
        <v>3.0089999999999999</v>
      </c>
      <c r="K5" s="29">
        <v>4010</v>
      </c>
      <c r="L5" s="29">
        <v>4790</v>
      </c>
      <c r="M5" s="23">
        <v>166000</v>
      </c>
      <c r="N5" s="27">
        <v>249000</v>
      </c>
      <c r="O5" s="30" t="s">
        <v>6</v>
      </c>
      <c r="P5" s="31" t="s">
        <v>10</v>
      </c>
      <c r="Q5" s="28">
        <v>3.927</v>
      </c>
    </row>
    <row r="6" spans="1:17" x14ac:dyDescent="0.25">
      <c r="A6" s="23">
        <v>4</v>
      </c>
      <c r="B6" s="24">
        <v>4.5</v>
      </c>
      <c r="C6" s="25">
        <v>9.5</v>
      </c>
      <c r="D6" s="26" t="s">
        <v>11</v>
      </c>
      <c r="E6" s="27">
        <v>65</v>
      </c>
      <c r="F6" s="26" t="s">
        <v>5</v>
      </c>
      <c r="G6" s="24">
        <v>4.09</v>
      </c>
      <c r="H6" s="28">
        <v>0.20499999999999999</v>
      </c>
      <c r="I6" s="28">
        <v>21.951000000000001</v>
      </c>
      <c r="J6" s="28">
        <v>2.766</v>
      </c>
      <c r="K6" s="29">
        <v>3600</v>
      </c>
      <c r="L6" s="29">
        <v>5180</v>
      </c>
      <c r="M6" s="23">
        <v>180000</v>
      </c>
      <c r="N6" s="27">
        <v>135000</v>
      </c>
      <c r="O6" s="30" t="s">
        <v>12</v>
      </c>
      <c r="P6" s="31" t="s">
        <v>13</v>
      </c>
      <c r="Q6" s="28">
        <v>3.9649999999999999</v>
      </c>
    </row>
    <row r="7" spans="1:17" x14ac:dyDescent="0.25">
      <c r="A7" s="23">
        <v>5</v>
      </c>
      <c r="B7" s="24">
        <v>4.5</v>
      </c>
      <c r="C7" s="25">
        <v>11.6</v>
      </c>
      <c r="D7" s="26" t="s">
        <v>4</v>
      </c>
      <c r="E7" s="27">
        <v>55</v>
      </c>
      <c r="F7" s="26" t="s">
        <v>14</v>
      </c>
      <c r="G7" s="24">
        <v>4</v>
      </c>
      <c r="H7" s="28">
        <v>0.25</v>
      </c>
      <c r="I7" s="28">
        <v>18</v>
      </c>
      <c r="J7" s="28">
        <v>3.3380000000000001</v>
      </c>
      <c r="K7" s="29">
        <v>4960</v>
      </c>
      <c r="L7" s="29">
        <v>5350</v>
      </c>
      <c r="M7" s="23">
        <v>184000</v>
      </c>
      <c r="N7" s="27">
        <v>180000</v>
      </c>
      <c r="O7" s="30" t="s">
        <v>6</v>
      </c>
      <c r="P7" s="31" t="s">
        <v>15</v>
      </c>
      <c r="Q7" s="28">
        <v>3.875</v>
      </c>
    </row>
    <row r="8" spans="1:17" x14ac:dyDescent="0.25">
      <c r="A8" s="23">
        <v>6</v>
      </c>
      <c r="B8" s="24">
        <v>4.5</v>
      </c>
      <c r="C8" s="25">
        <v>11.6</v>
      </c>
      <c r="D8" s="26" t="s">
        <v>4</v>
      </c>
      <c r="E8" s="27">
        <v>55</v>
      </c>
      <c r="F8" s="26" t="s">
        <v>9</v>
      </c>
      <c r="G8" s="24">
        <v>4</v>
      </c>
      <c r="H8" s="28">
        <v>0.25</v>
      </c>
      <c r="I8" s="28">
        <v>18</v>
      </c>
      <c r="J8" s="28">
        <v>3.3380000000000001</v>
      </c>
      <c r="K8" s="29">
        <v>4960</v>
      </c>
      <c r="L8" s="29">
        <v>5350</v>
      </c>
      <c r="M8" s="23">
        <v>184000</v>
      </c>
      <c r="N8" s="27">
        <v>277000</v>
      </c>
      <c r="O8" s="30" t="s">
        <v>6</v>
      </c>
      <c r="P8" s="31" t="s">
        <v>16</v>
      </c>
      <c r="Q8" s="28">
        <v>3.875</v>
      </c>
    </row>
    <row r="9" spans="1:17" x14ac:dyDescent="0.25">
      <c r="A9" s="23">
        <v>7</v>
      </c>
      <c r="B9" s="24">
        <v>4.5</v>
      </c>
      <c r="C9" s="25">
        <v>10.5</v>
      </c>
      <c r="D9" s="26" t="s">
        <v>11</v>
      </c>
      <c r="E9" s="27">
        <v>65</v>
      </c>
      <c r="F9" s="26" t="s">
        <v>5</v>
      </c>
      <c r="G9" s="24">
        <v>4.0519999999999996</v>
      </c>
      <c r="H9" s="28">
        <v>0.224</v>
      </c>
      <c r="I9" s="28">
        <v>20.088999999999999</v>
      </c>
      <c r="J9" s="28">
        <v>3.0089999999999999</v>
      </c>
      <c r="K9" s="29">
        <v>4430</v>
      </c>
      <c r="L9" s="29">
        <v>5660</v>
      </c>
      <c r="M9" s="23">
        <v>196000</v>
      </c>
      <c r="N9" s="27">
        <v>154000</v>
      </c>
      <c r="O9" s="30" t="s">
        <v>12</v>
      </c>
      <c r="P9" s="31" t="s">
        <v>17</v>
      </c>
      <c r="Q9" s="28">
        <v>3.927</v>
      </c>
    </row>
    <row r="10" spans="1:17" x14ac:dyDescent="0.25">
      <c r="A10" s="23">
        <v>8</v>
      </c>
      <c r="B10" s="24">
        <v>4.5</v>
      </c>
      <c r="C10" s="25">
        <v>10.5</v>
      </c>
      <c r="D10" s="26" t="s">
        <v>11</v>
      </c>
      <c r="E10" s="27">
        <v>65</v>
      </c>
      <c r="F10" s="26" t="s">
        <v>9</v>
      </c>
      <c r="G10" s="24">
        <v>4.0519999999999996</v>
      </c>
      <c r="H10" s="28">
        <v>0.224</v>
      </c>
      <c r="I10" s="28">
        <v>20.088999999999999</v>
      </c>
      <c r="J10" s="28">
        <v>3.0089999999999999</v>
      </c>
      <c r="K10" s="29">
        <v>4430</v>
      </c>
      <c r="L10" s="29">
        <v>5660</v>
      </c>
      <c r="M10" s="23">
        <v>196000</v>
      </c>
      <c r="N10" s="27">
        <v>231000</v>
      </c>
      <c r="O10" s="30" t="s">
        <v>12</v>
      </c>
      <c r="P10" s="31" t="s">
        <v>18</v>
      </c>
      <c r="Q10" s="28">
        <v>3.927</v>
      </c>
    </row>
    <row r="11" spans="1:17" x14ac:dyDescent="0.25">
      <c r="A11" s="23">
        <v>9</v>
      </c>
      <c r="B11" s="24">
        <v>4.5</v>
      </c>
      <c r="C11" s="25">
        <v>11.6</v>
      </c>
      <c r="D11" s="26" t="s">
        <v>11</v>
      </c>
      <c r="E11" s="27">
        <v>65</v>
      </c>
      <c r="F11" s="26" t="s">
        <v>14</v>
      </c>
      <c r="G11" s="24">
        <v>4</v>
      </c>
      <c r="H11" s="28">
        <v>0.25</v>
      </c>
      <c r="I11" s="28">
        <v>18</v>
      </c>
      <c r="J11" s="28">
        <v>3.3380000000000001</v>
      </c>
      <c r="K11" s="29">
        <v>5560</v>
      </c>
      <c r="L11" s="29">
        <v>6320</v>
      </c>
      <c r="M11" s="23">
        <v>217000</v>
      </c>
      <c r="N11" s="27">
        <v>188000</v>
      </c>
      <c r="O11" s="30" t="s">
        <v>12</v>
      </c>
      <c r="P11" s="31" t="s">
        <v>19</v>
      </c>
      <c r="Q11" s="28">
        <v>3.875</v>
      </c>
    </row>
    <row r="12" spans="1:17" x14ac:dyDescent="0.25">
      <c r="A12" s="23">
        <v>10</v>
      </c>
      <c r="B12" s="24">
        <v>4.5</v>
      </c>
      <c r="C12" s="25">
        <v>11.6</v>
      </c>
      <c r="D12" s="26" t="s">
        <v>11</v>
      </c>
      <c r="E12" s="27">
        <v>65</v>
      </c>
      <c r="F12" s="26" t="s">
        <v>9</v>
      </c>
      <c r="G12" s="24">
        <v>4</v>
      </c>
      <c r="H12" s="28">
        <v>0.25</v>
      </c>
      <c r="I12" s="28">
        <v>18</v>
      </c>
      <c r="J12" s="28">
        <v>3.3380000000000001</v>
      </c>
      <c r="K12" s="29">
        <v>5560</v>
      </c>
      <c r="L12" s="29">
        <v>6320</v>
      </c>
      <c r="M12" s="23">
        <v>217000</v>
      </c>
      <c r="N12" s="27">
        <v>256000</v>
      </c>
      <c r="O12" s="30" t="s">
        <v>12</v>
      </c>
      <c r="P12" s="31" t="s">
        <v>20</v>
      </c>
      <c r="Q12" s="28">
        <v>3.875</v>
      </c>
    </row>
    <row r="13" spans="1:17" x14ac:dyDescent="0.25">
      <c r="A13" s="23">
        <v>11</v>
      </c>
      <c r="B13" s="24">
        <v>4.5</v>
      </c>
      <c r="C13" s="25">
        <v>13.5</v>
      </c>
      <c r="D13" s="26" t="s">
        <v>11</v>
      </c>
      <c r="E13" s="27">
        <v>65</v>
      </c>
      <c r="F13" s="26" t="s">
        <v>14</v>
      </c>
      <c r="G13" s="24">
        <v>3.92</v>
      </c>
      <c r="H13" s="28">
        <v>0.28999999999999998</v>
      </c>
      <c r="I13" s="28">
        <v>15.516999999999999</v>
      </c>
      <c r="J13" s="28">
        <v>3.8359999999999999</v>
      </c>
      <c r="K13" s="29">
        <v>7310</v>
      </c>
      <c r="L13" s="29">
        <v>7330</v>
      </c>
      <c r="M13" s="23">
        <v>249000</v>
      </c>
      <c r="N13" s="27">
        <v>228000</v>
      </c>
      <c r="O13" s="30" t="s">
        <v>12</v>
      </c>
      <c r="P13" s="31" t="s">
        <v>21</v>
      </c>
      <c r="Q13" s="28">
        <v>3.7949999999999999</v>
      </c>
    </row>
    <row r="14" spans="1:17" x14ac:dyDescent="0.25">
      <c r="A14" s="23">
        <v>12</v>
      </c>
      <c r="B14" s="24">
        <v>4.5</v>
      </c>
      <c r="C14" s="25">
        <v>13.5</v>
      </c>
      <c r="D14" s="26" t="s">
        <v>11</v>
      </c>
      <c r="E14" s="27">
        <v>65</v>
      </c>
      <c r="F14" s="26" t="s">
        <v>9</v>
      </c>
      <c r="G14" s="24">
        <v>3.92</v>
      </c>
      <c r="H14" s="28">
        <v>0.28999999999999998</v>
      </c>
      <c r="I14" s="28">
        <v>15.516999999999999</v>
      </c>
      <c r="J14" s="28">
        <v>3.8359999999999999</v>
      </c>
      <c r="K14" s="29">
        <v>7310</v>
      </c>
      <c r="L14" s="29">
        <v>7330</v>
      </c>
      <c r="M14" s="23">
        <v>249000</v>
      </c>
      <c r="N14" s="27">
        <v>295000</v>
      </c>
      <c r="O14" s="30" t="s">
        <v>12</v>
      </c>
      <c r="P14" s="31" t="s">
        <v>22</v>
      </c>
      <c r="Q14" s="28">
        <v>3.7949999999999999</v>
      </c>
    </row>
    <row r="15" spans="1:17" x14ac:dyDescent="0.25">
      <c r="A15" s="23">
        <v>13</v>
      </c>
      <c r="B15" s="24">
        <v>4.5</v>
      </c>
      <c r="C15" s="25">
        <v>11.6</v>
      </c>
      <c r="D15" s="26" t="s">
        <v>23</v>
      </c>
      <c r="E15" s="27">
        <v>80</v>
      </c>
      <c r="F15" s="26" t="s">
        <v>14</v>
      </c>
      <c r="G15" s="24">
        <v>4</v>
      </c>
      <c r="H15" s="28">
        <v>0.25</v>
      </c>
      <c r="I15" s="28">
        <v>18</v>
      </c>
      <c r="J15" s="28">
        <v>3.3380000000000001</v>
      </c>
      <c r="K15" s="29">
        <v>6350</v>
      </c>
      <c r="L15" s="29">
        <v>7780</v>
      </c>
      <c r="M15" s="23">
        <v>267000</v>
      </c>
      <c r="N15" s="27">
        <v>223000</v>
      </c>
      <c r="O15" s="30" t="s">
        <v>24</v>
      </c>
      <c r="P15" s="31" t="s">
        <v>25</v>
      </c>
      <c r="Q15" s="28">
        <v>3.875</v>
      </c>
    </row>
    <row r="16" spans="1:17" x14ac:dyDescent="0.25">
      <c r="A16" s="23">
        <v>14</v>
      </c>
      <c r="B16" s="24">
        <v>4.5</v>
      </c>
      <c r="C16" s="25">
        <v>11.6</v>
      </c>
      <c r="D16" s="26" t="s">
        <v>23</v>
      </c>
      <c r="E16" s="27">
        <v>80</v>
      </c>
      <c r="F16" s="26" t="s">
        <v>9</v>
      </c>
      <c r="G16" s="24">
        <v>4</v>
      </c>
      <c r="H16" s="28">
        <v>0.25</v>
      </c>
      <c r="I16" s="28">
        <v>18</v>
      </c>
      <c r="J16" s="28">
        <v>3.3380000000000001</v>
      </c>
      <c r="K16" s="29">
        <v>6350</v>
      </c>
      <c r="L16" s="29">
        <v>7780</v>
      </c>
      <c r="M16" s="23">
        <v>267000</v>
      </c>
      <c r="N16" s="27">
        <v>304000</v>
      </c>
      <c r="O16" s="30" t="s">
        <v>24</v>
      </c>
      <c r="P16" s="31" t="s">
        <v>26</v>
      </c>
      <c r="Q16" s="28">
        <v>3.875</v>
      </c>
    </row>
    <row r="17" spans="1:17" x14ac:dyDescent="0.25">
      <c r="A17" s="23">
        <v>15</v>
      </c>
      <c r="B17" s="24">
        <v>4.5</v>
      </c>
      <c r="C17" s="25">
        <v>13.5</v>
      </c>
      <c r="D17" s="26" t="s">
        <v>23</v>
      </c>
      <c r="E17" s="27">
        <v>80</v>
      </c>
      <c r="F17" s="26" t="s">
        <v>14</v>
      </c>
      <c r="G17" s="24">
        <v>3.92</v>
      </c>
      <c r="H17" s="28">
        <v>0.28999999999999998</v>
      </c>
      <c r="I17" s="28">
        <v>15.516999999999999</v>
      </c>
      <c r="J17" s="28">
        <v>3.8359999999999999</v>
      </c>
      <c r="K17" s="29">
        <v>8540</v>
      </c>
      <c r="L17" s="29">
        <v>9020</v>
      </c>
      <c r="M17" s="23">
        <v>307000</v>
      </c>
      <c r="N17" s="27">
        <v>270000</v>
      </c>
      <c r="O17" s="30" t="s">
        <v>24</v>
      </c>
      <c r="P17" s="31" t="s">
        <v>27</v>
      </c>
      <c r="Q17" s="28">
        <v>3.7949999999999999</v>
      </c>
    </row>
    <row r="18" spans="1:17" x14ac:dyDescent="0.25">
      <c r="A18" s="23">
        <v>16</v>
      </c>
      <c r="B18" s="24">
        <v>4.5</v>
      </c>
      <c r="C18" s="25">
        <v>11.6</v>
      </c>
      <c r="D18" s="26" t="s">
        <v>28</v>
      </c>
      <c r="E18" s="27">
        <v>95</v>
      </c>
      <c r="F18" s="26" t="s">
        <v>14</v>
      </c>
      <c r="G18" s="24">
        <v>4</v>
      </c>
      <c r="H18" s="28">
        <v>0.25</v>
      </c>
      <c r="I18" s="28">
        <v>18</v>
      </c>
      <c r="J18" s="28">
        <v>3.3380000000000001</v>
      </c>
      <c r="K18" s="29">
        <v>7030</v>
      </c>
      <c r="L18" s="29">
        <v>9240</v>
      </c>
      <c r="M18" s="23">
        <v>317000</v>
      </c>
      <c r="N18" s="27">
        <v>234000</v>
      </c>
      <c r="O18" s="30" t="s">
        <v>29</v>
      </c>
      <c r="P18" s="31" t="s">
        <v>30</v>
      </c>
      <c r="Q18" s="28">
        <v>3.875</v>
      </c>
    </row>
    <row r="19" spans="1:17" x14ac:dyDescent="0.25">
      <c r="A19" s="23">
        <v>17</v>
      </c>
      <c r="B19" s="24">
        <v>4.5</v>
      </c>
      <c r="C19" s="25">
        <v>13.5</v>
      </c>
      <c r="D19" s="26" t="s">
        <v>23</v>
      </c>
      <c r="E19" s="27">
        <v>80</v>
      </c>
      <c r="F19" s="26" t="s">
        <v>9</v>
      </c>
      <c r="G19" s="24">
        <v>3.92</v>
      </c>
      <c r="H19" s="28">
        <v>0.28999999999999998</v>
      </c>
      <c r="I19" s="28">
        <v>15.516999999999999</v>
      </c>
      <c r="J19" s="28">
        <v>3.8359999999999999</v>
      </c>
      <c r="K19" s="29">
        <v>8540</v>
      </c>
      <c r="L19" s="29">
        <v>9020</v>
      </c>
      <c r="M19" s="23">
        <v>307000</v>
      </c>
      <c r="N19" s="27">
        <v>349000</v>
      </c>
      <c r="O19" s="30" t="s">
        <v>24</v>
      </c>
      <c r="P19" s="31" t="s">
        <v>31</v>
      </c>
      <c r="Q19" s="28">
        <v>3.7949999999999999</v>
      </c>
    </row>
    <row r="20" spans="1:17" x14ac:dyDescent="0.25">
      <c r="A20" s="23">
        <v>18</v>
      </c>
      <c r="B20" s="24">
        <v>4.5</v>
      </c>
      <c r="C20" s="25">
        <v>11.6</v>
      </c>
      <c r="D20" s="26" t="s">
        <v>28</v>
      </c>
      <c r="E20" s="27">
        <v>95</v>
      </c>
      <c r="F20" s="26" t="s">
        <v>9</v>
      </c>
      <c r="G20" s="24">
        <v>4</v>
      </c>
      <c r="H20" s="28">
        <v>0.25</v>
      </c>
      <c r="I20" s="28">
        <v>18</v>
      </c>
      <c r="J20" s="28">
        <v>3.3380000000000001</v>
      </c>
      <c r="K20" s="29">
        <v>7030</v>
      </c>
      <c r="L20" s="29">
        <v>9240</v>
      </c>
      <c r="M20" s="23">
        <v>317000</v>
      </c>
      <c r="N20" s="27">
        <v>325000</v>
      </c>
      <c r="O20" s="30" t="s">
        <v>29</v>
      </c>
      <c r="P20" s="31" t="s">
        <v>32</v>
      </c>
      <c r="Q20" s="28">
        <v>3.875</v>
      </c>
    </row>
    <row r="21" spans="1:17" x14ac:dyDescent="0.25">
      <c r="A21" s="23">
        <v>19</v>
      </c>
      <c r="B21" s="24">
        <v>4.5</v>
      </c>
      <c r="C21" s="25">
        <v>11.6</v>
      </c>
      <c r="D21" s="26" t="s">
        <v>33</v>
      </c>
      <c r="E21" s="27">
        <v>110</v>
      </c>
      <c r="F21" s="26" t="s">
        <v>14</v>
      </c>
      <c r="G21" s="24">
        <v>4</v>
      </c>
      <c r="H21" s="28">
        <v>0.25</v>
      </c>
      <c r="I21" s="28">
        <v>18</v>
      </c>
      <c r="J21" s="28">
        <v>3.3380000000000001</v>
      </c>
      <c r="K21" s="29">
        <v>7580</v>
      </c>
      <c r="L21" s="29">
        <v>10690</v>
      </c>
      <c r="M21" s="23">
        <v>367000</v>
      </c>
      <c r="N21" s="27">
        <v>279000</v>
      </c>
      <c r="O21" s="30" t="s">
        <v>34</v>
      </c>
      <c r="P21" s="31" t="s">
        <v>35</v>
      </c>
      <c r="Q21" s="28">
        <v>3.875</v>
      </c>
    </row>
    <row r="22" spans="1:17" x14ac:dyDescent="0.25">
      <c r="A22" s="23">
        <v>20</v>
      </c>
      <c r="B22" s="24">
        <v>4.5</v>
      </c>
      <c r="C22" s="25">
        <v>13.5</v>
      </c>
      <c r="D22" s="26" t="s">
        <v>28</v>
      </c>
      <c r="E22" s="27">
        <v>95</v>
      </c>
      <c r="F22" s="26" t="s">
        <v>14</v>
      </c>
      <c r="G22" s="24">
        <v>3.92</v>
      </c>
      <c r="H22" s="28">
        <v>0.28999999999999998</v>
      </c>
      <c r="I22" s="28">
        <v>15.516999999999999</v>
      </c>
      <c r="J22" s="28">
        <v>3.8359999999999999</v>
      </c>
      <c r="K22" s="29">
        <v>9660</v>
      </c>
      <c r="L22" s="29">
        <v>10710</v>
      </c>
      <c r="M22" s="23">
        <v>364000</v>
      </c>
      <c r="N22" s="27">
        <v>284000</v>
      </c>
      <c r="O22" s="30" t="s">
        <v>29</v>
      </c>
      <c r="P22" s="31" t="s">
        <v>36</v>
      </c>
      <c r="Q22" s="28">
        <v>3.7949999999999999</v>
      </c>
    </row>
    <row r="23" spans="1:17" x14ac:dyDescent="0.25">
      <c r="A23" s="23">
        <v>21</v>
      </c>
      <c r="B23" s="24">
        <v>4.5</v>
      </c>
      <c r="C23" s="25">
        <v>11.6</v>
      </c>
      <c r="D23" s="26" t="s">
        <v>33</v>
      </c>
      <c r="E23" s="27">
        <v>110</v>
      </c>
      <c r="F23" s="26" t="s">
        <v>9</v>
      </c>
      <c r="G23" s="24">
        <v>4</v>
      </c>
      <c r="H23" s="28">
        <v>0.25</v>
      </c>
      <c r="I23" s="28">
        <v>18</v>
      </c>
      <c r="J23" s="28">
        <v>3.3380000000000001</v>
      </c>
      <c r="K23" s="29">
        <v>7580</v>
      </c>
      <c r="L23" s="29">
        <v>10690</v>
      </c>
      <c r="M23" s="23">
        <v>367000</v>
      </c>
      <c r="N23" s="27">
        <v>385000</v>
      </c>
      <c r="O23" s="30" t="s">
        <v>34</v>
      </c>
      <c r="P23" s="31" t="s">
        <v>37</v>
      </c>
      <c r="Q23" s="28">
        <v>3.875</v>
      </c>
    </row>
    <row r="24" spans="1:17" x14ac:dyDescent="0.25">
      <c r="A24" s="23">
        <v>22</v>
      </c>
      <c r="B24" s="24">
        <v>4.5</v>
      </c>
      <c r="C24" s="25">
        <v>13.5</v>
      </c>
      <c r="D24" s="26" t="s">
        <v>28</v>
      </c>
      <c r="E24" s="27">
        <v>95</v>
      </c>
      <c r="F24" s="26" t="s">
        <v>9</v>
      </c>
      <c r="G24" s="24">
        <v>3.92</v>
      </c>
      <c r="H24" s="28">
        <v>0.28999999999999998</v>
      </c>
      <c r="I24" s="28">
        <v>15.516999999999999</v>
      </c>
      <c r="J24" s="28">
        <v>3.8359999999999999</v>
      </c>
      <c r="K24" s="29">
        <v>9660</v>
      </c>
      <c r="L24" s="29">
        <v>10710</v>
      </c>
      <c r="M24" s="23">
        <v>364000</v>
      </c>
      <c r="N24" s="27">
        <v>374000</v>
      </c>
      <c r="O24" s="30" t="s">
        <v>29</v>
      </c>
      <c r="P24" s="31" t="s">
        <v>38</v>
      </c>
      <c r="Q24" s="28">
        <v>3.7949999999999999</v>
      </c>
    </row>
    <row r="25" spans="1:17" x14ac:dyDescent="0.25">
      <c r="A25" s="23">
        <v>23</v>
      </c>
      <c r="B25" s="24">
        <v>4.5</v>
      </c>
      <c r="C25" s="25">
        <v>13.5</v>
      </c>
      <c r="D25" s="26" t="s">
        <v>33</v>
      </c>
      <c r="E25" s="27">
        <v>110</v>
      </c>
      <c r="F25" s="26" t="s">
        <v>14</v>
      </c>
      <c r="G25" s="24">
        <v>3.92</v>
      </c>
      <c r="H25" s="28">
        <v>0.28999999999999998</v>
      </c>
      <c r="I25" s="28">
        <v>15.516999999999999</v>
      </c>
      <c r="J25" s="28">
        <v>3.8359999999999999</v>
      </c>
      <c r="K25" s="29">
        <v>10690</v>
      </c>
      <c r="L25" s="29">
        <v>12410</v>
      </c>
      <c r="M25" s="23">
        <v>422000</v>
      </c>
      <c r="N25" s="27">
        <v>338000</v>
      </c>
      <c r="O25" s="30" t="s">
        <v>34</v>
      </c>
      <c r="P25" s="31" t="s">
        <v>39</v>
      </c>
      <c r="Q25" s="28">
        <v>3.7949999999999999</v>
      </c>
    </row>
    <row r="26" spans="1:17" x14ac:dyDescent="0.25">
      <c r="A26" s="23">
        <v>24</v>
      </c>
      <c r="B26" s="24">
        <v>4.5</v>
      </c>
      <c r="C26" s="25">
        <v>13.5</v>
      </c>
      <c r="D26" s="26" t="s">
        <v>33</v>
      </c>
      <c r="E26" s="27">
        <v>110</v>
      </c>
      <c r="F26" s="26" t="s">
        <v>9</v>
      </c>
      <c r="G26" s="24">
        <v>3.92</v>
      </c>
      <c r="H26" s="28">
        <v>0.28999999999999998</v>
      </c>
      <c r="I26" s="28">
        <v>15.516999999999999</v>
      </c>
      <c r="J26" s="28">
        <v>3.8359999999999999</v>
      </c>
      <c r="K26" s="29">
        <v>10690</v>
      </c>
      <c r="L26" s="29">
        <v>12410</v>
      </c>
      <c r="M26" s="23">
        <v>422000</v>
      </c>
      <c r="N26" s="27">
        <v>443000</v>
      </c>
      <c r="O26" s="30" t="s">
        <v>34</v>
      </c>
      <c r="P26" s="31" t="s">
        <v>40</v>
      </c>
      <c r="Q26" s="28">
        <v>3.7949999999999999</v>
      </c>
    </row>
    <row r="27" spans="1:17" x14ac:dyDescent="0.25">
      <c r="A27" s="23">
        <v>27</v>
      </c>
      <c r="B27" s="24">
        <v>4.5</v>
      </c>
      <c r="C27" s="25">
        <v>15.1</v>
      </c>
      <c r="D27" s="26" t="s">
        <v>33</v>
      </c>
      <c r="E27" s="27">
        <v>110</v>
      </c>
      <c r="F27" s="26" t="s">
        <v>14</v>
      </c>
      <c r="G27" s="24">
        <v>3.8260000000000001</v>
      </c>
      <c r="H27" s="28">
        <v>0.33700000000000002</v>
      </c>
      <c r="I27" s="28">
        <v>13.353</v>
      </c>
      <c r="J27" s="28">
        <v>4.407</v>
      </c>
      <c r="K27" s="29">
        <v>14340</v>
      </c>
      <c r="L27" s="29">
        <v>14420</v>
      </c>
      <c r="M27" s="23">
        <v>485000</v>
      </c>
      <c r="N27" s="27">
        <v>406000</v>
      </c>
      <c r="O27" s="30" t="s">
        <v>34</v>
      </c>
      <c r="P27" s="31" t="s">
        <v>41</v>
      </c>
      <c r="Q27" s="28">
        <v>3.7010000000000001</v>
      </c>
    </row>
    <row r="28" spans="1:17" x14ac:dyDescent="0.25">
      <c r="A28" s="23">
        <v>28</v>
      </c>
      <c r="B28" s="24">
        <v>4.5</v>
      </c>
      <c r="C28" s="25">
        <v>15.1</v>
      </c>
      <c r="D28" s="26" t="s">
        <v>33</v>
      </c>
      <c r="E28" s="27">
        <v>110</v>
      </c>
      <c r="F28" s="26" t="s">
        <v>9</v>
      </c>
      <c r="G28" s="24">
        <v>3.8260000000000001</v>
      </c>
      <c r="H28" s="28">
        <v>0.33700000000000002</v>
      </c>
      <c r="I28" s="28">
        <v>13.353</v>
      </c>
      <c r="J28" s="28">
        <v>4.407</v>
      </c>
      <c r="K28" s="29">
        <v>14340</v>
      </c>
      <c r="L28" s="29">
        <v>14420</v>
      </c>
      <c r="M28" s="23">
        <v>485000</v>
      </c>
      <c r="N28" s="27">
        <v>509000</v>
      </c>
      <c r="O28" s="30" t="s">
        <v>34</v>
      </c>
      <c r="P28" s="31" t="s">
        <v>42</v>
      </c>
      <c r="Q28" s="28">
        <v>3.7010000000000001</v>
      </c>
    </row>
    <row r="29" spans="1:17" x14ac:dyDescent="0.25">
      <c r="A29" s="23">
        <v>29</v>
      </c>
      <c r="B29" s="24">
        <v>4.5</v>
      </c>
      <c r="C29" s="25">
        <v>15.1</v>
      </c>
      <c r="D29" s="26" t="s">
        <v>43</v>
      </c>
      <c r="E29" s="27">
        <v>125</v>
      </c>
      <c r="F29" s="26" t="s">
        <v>14</v>
      </c>
      <c r="G29" s="24">
        <v>3.8260000000000001</v>
      </c>
      <c r="H29" s="28">
        <v>0.33700000000000002</v>
      </c>
      <c r="I29" s="28">
        <v>13.353</v>
      </c>
      <c r="J29" s="28">
        <v>4.407</v>
      </c>
      <c r="K29" s="29">
        <v>15830</v>
      </c>
      <c r="L29" s="29">
        <v>16380</v>
      </c>
      <c r="M29" s="23">
        <v>551000</v>
      </c>
      <c r="N29" s="27">
        <v>438000</v>
      </c>
      <c r="O29" s="30" t="s">
        <v>44</v>
      </c>
      <c r="P29" s="31" t="s">
        <v>45</v>
      </c>
      <c r="Q29" s="28">
        <v>3.7010000000000001</v>
      </c>
    </row>
    <row r="30" spans="1:17" x14ac:dyDescent="0.25">
      <c r="A30" s="23">
        <v>30</v>
      </c>
      <c r="B30" s="24">
        <v>4.5</v>
      </c>
      <c r="C30" s="25">
        <v>15.1</v>
      </c>
      <c r="D30" s="26" t="s">
        <v>43</v>
      </c>
      <c r="E30" s="27">
        <v>125</v>
      </c>
      <c r="F30" s="26" t="s">
        <v>9</v>
      </c>
      <c r="G30" s="24">
        <v>3.8260000000000001</v>
      </c>
      <c r="H30" s="28">
        <v>0.33700000000000002</v>
      </c>
      <c r="I30" s="28">
        <v>13.353</v>
      </c>
      <c r="J30" s="28">
        <v>4.407</v>
      </c>
      <c r="K30" s="29">
        <v>15830</v>
      </c>
      <c r="L30" s="29">
        <v>16380</v>
      </c>
      <c r="M30" s="23">
        <v>551000</v>
      </c>
      <c r="N30" s="27">
        <v>554000</v>
      </c>
      <c r="O30" s="30" t="s">
        <v>44</v>
      </c>
      <c r="P30" s="31" t="s">
        <v>46</v>
      </c>
      <c r="Q30" s="28">
        <v>3.7010000000000001</v>
      </c>
    </row>
    <row r="31" spans="1:17" x14ac:dyDescent="0.25">
      <c r="A31" s="23">
        <v>1</v>
      </c>
      <c r="B31" s="23">
        <v>2</v>
      </c>
      <c r="C31" s="23">
        <v>3</v>
      </c>
      <c r="D31" s="23">
        <v>4</v>
      </c>
      <c r="E31" s="23">
        <v>5</v>
      </c>
      <c r="F31" s="23">
        <v>6</v>
      </c>
      <c r="G31" s="23">
        <v>7</v>
      </c>
      <c r="H31" s="23">
        <v>8</v>
      </c>
      <c r="I31" s="23">
        <v>9</v>
      </c>
      <c r="J31" s="23">
        <v>10</v>
      </c>
      <c r="K31" s="23">
        <v>11</v>
      </c>
      <c r="L31" s="23">
        <v>12</v>
      </c>
      <c r="M31" s="23">
        <v>13</v>
      </c>
      <c r="N31" s="23">
        <v>14</v>
      </c>
      <c r="O31" s="23">
        <v>15</v>
      </c>
      <c r="P31" s="23">
        <v>16</v>
      </c>
      <c r="Q31" s="23">
        <v>17</v>
      </c>
    </row>
    <row r="33" spans="6:10" x14ac:dyDescent="0.25">
      <c r="F33" s="39" t="s">
        <v>152</v>
      </c>
      <c r="G33" s="56" t="s">
        <v>172</v>
      </c>
      <c r="H33" s="56" t="s">
        <v>47</v>
      </c>
      <c r="I33" s="56" t="s">
        <v>153</v>
      </c>
    </row>
    <row r="34" spans="6:10" x14ac:dyDescent="0.25">
      <c r="F34" s="39">
        <v>1</v>
      </c>
      <c r="G34" s="2">
        <v>11.6</v>
      </c>
      <c r="H34" s="2" t="s">
        <v>248</v>
      </c>
      <c r="I34" s="35" t="s">
        <v>165</v>
      </c>
      <c r="J34">
        <v>20</v>
      </c>
    </row>
    <row r="35" spans="6:10" x14ac:dyDescent="0.25">
      <c r="F35" s="39">
        <v>2</v>
      </c>
      <c r="G35" s="2">
        <v>13.5</v>
      </c>
      <c r="H35" s="2" t="s">
        <v>241</v>
      </c>
      <c r="I35" s="35" t="s">
        <v>165</v>
      </c>
      <c r="J35">
        <v>16</v>
      </c>
    </row>
    <row r="36" spans="6:10" x14ac:dyDescent="0.25">
      <c r="F36" s="39">
        <v>3</v>
      </c>
      <c r="G36" s="2">
        <v>11.6</v>
      </c>
      <c r="H36" s="2" t="s">
        <v>241</v>
      </c>
      <c r="I36" s="35" t="s">
        <v>165</v>
      </c>
      <c r="J36">
        <v>13</v>
      </c>
    </row>
    <row r="37" spans="6:10" x14ac:dyDescent="0.25">
      <c r="F37" s="39">
        <v>4</v>
      </c>
      <c r="G37" s="2">
        <v>13.5</v>
      </c>
      <c r="H37" s="2" t="s">
        <v>245</v>
      </c>
      <c r="I37" s="35" t="s">
        <v>165</v>
      </c>
      <c r="J37">
        <v>11</v>
      </c>
    </row>
  </sheetData>
  <mergeCells count="1">
    <mergeCell ref="A1:Q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11"/>
  <sheetViews>
    <sheetView topLeftCell="E1" zoomScaleNormal="100" workbookViewId="0">
      <selection activeCell="M111" sqref="L3:M111"/>
    </sheetView>
  </sheetViews>
  <sheetFormatPr defaultRowHeight="15.75" x14ac:dyDescent="0.25"/>
  <cols>
    <col min="2" max="2" width="16.625" bestFit="1" customWidth="1"/>
    <col min="3" max="3" width="13.5" customWidth="1"/>
    <col min="4" max="5" width="16.625" bestFit="1" customWidth="1"/>
    <col min="6" max="6" width="10.75" bestFit="1" customWidth="1"/>
    <col min="7" max="7" width="16.625" bestFit="1" customWidth="1"/>
    <col min="8" max="9" width="9.375" bestFit="1" customWidth="1"/>
    <col min="10" max="10" width="12.375" bestFit="1" customWidth="1"/>
  </cols>
  <sheetData>
    <row r="1" spans="1:17" x14ac:dyDescent="0.25">
      <c r="B1" s="3" t="s">
        <v>266</v>
      </c>
      <c r="C1" s="3"/>
      <c r="D1" s="3"/>
      <c r="E1" s="3"/>
      <c r="F1" s="3" t="s">
        <v>267</v>
      </c>
      <c r="J1" t="s">
        <v>264</v>
      </c>
      <c r="L1" t="s">
        <v>265</v>
      </c>
      <c r="N1" t="s">
        <v>268</v>
      </c>
      <c r="P1" t="s">
        <v>269</v>
      </c>
    </row>
    <row r="2" spans="1:17" x14ac:dyDescent="0.25">
      <c r="B2" s="133" t="s">
        <v>260</v>
      </c>
      <c r="C2" s="133" t="s">
        <v>244</v>
      </c>
      <c r="D2" t="s">
        <v>263</v>
      </c>
      <c r="E2" t="s">
        <v>243</v>
      </c>
      <c r="F2" t="s">
        <v>260</v>
      </c>
      <c r="G2" t="s">
        <v>244</v>
      </c>
      <c r="H2" t="s">
        <v>263</v>
      </c>
      <c r="I2" t="s">
        <v>243</v>
      </c>
      <c r="J2" t="s">
        <v>261</v>
      </c>
      <c r="K2" t="s">
        <v>163</v>
      </c>
      <c r="L2" t="s">
        <v>261</v>
      </c>
      <c r="M2" t="s">
        <v>163</v>
      </c>
      <c r="N2" t="s">
        <v>262</v>
      </c>
      <c r="O2" t="s">
        <v>164</v>
      </c>
      <c r="P2" t="s">
        <v>262</v>
      </c>
      <c r="Q2" t="s">
        <v>164</v>
      </c>
    </row>
    <row r="3" spans="1:17" x14ac:dyDescent="0.25">
      <c r="A3">
        <v>0</v>
      </c>
      <c r="B3">
        <v>367000</v>
      </c>
      <c r="C3">
        <v>244151.90394092197</v>
      </c>
      <c r="D3">
        <v>385000</v>
      </c>
      <c r="E3">
        <v>292982.28472910635</v>
      </c>
      <c r="F3">
        <v>367000</v>
      </c>
      <c r="G3">
        <v>329311.60147295019</v>
      </c>
      <c r="H3">
        <v>385000</v>
      </c>
      <c r="I3">
        <v>365173.92176754028</v>
      </c>
      <c r="J3">
        <v>10690</v>
      </c>
      <c r="K3">
        <v>6050.0000000000009</v>
      </c>
      <c r="L3">
        <v>10690</v>
      </c>
      <c r="M3">
        <v>2822.6</v>
      </c>
      <c r="N3">
        <v>7067.7834831295222</v>
      </c>
      <c r="O3">
        <v>0</v>
      </c>
      <c r="P3">
        <v>7287.0045165275405</v>
      </c>
      <c r="Q3">
        <v>0</v>
      </c>
    </row>
    <row r="4" spans="1:17" x14ac:dyDescent="0.25">
      <c r="A4">
        <v>100</v>
      </c>
      <c r="B4">
        <v>367000</v>
      </c>
      <c r="C4">
        <v>242411.90394092197</v>
      </c>
      <c r="D4">
        <v>385000</v>
      </c>
      <c r="E4">
        <v>290894.28472910635</v>
      </c>
      <c r="F4">
        <v>367000</v>
      </c>
      <c r="G4">
        <v>327571.60147295019</v>
      </c>
      <c r="H4">
        <v>385000</v>
      </c>
      <c r="I4">
        <v>363085.92176754028</v>
      </c>
      <c r="J4">
        <v>10690</v>
      </c>
      <c r="K4">
        <v>6054.4571428571435</v>
      </c>
      <c r="L4">
        <v>10690</v>
      </c>
      <c r="M4">
        <v>2826.9699700000001</v>
      </c>
      <c r="N4">
        <v>7077.0549511631625</v>
      </c>
      <c r="O4">
        <v>-1.1428571428571375</v>
      </c>
      <c r="P4">
        <v>7294.7569582925353</v>
      </c>
      <c r="Q4">
        <v>55.428571428571423</v>
      </c>
    </row>
    <row r="5" spans="1:17" x14ac:dyDescent="0.25">
      <c r="A5">
        <v>200</v>
      </c>
      <c r="B5">
        <v>367000</v>
      </c>
      <c r="C5">
        <v>240671.90394092197</v>
      </c>
      <c r="D5">
        <v>385000</v>
      </c>
      <c r="E5">
        <v>288806.28472910635</v>
      </c>
      <c r="F5">
        <v>367000</v>
      </c>
      <c r="G5">
        <v>325831.60147295019</v>
      </c>
      <c r="H5">
        <v>385000</v>
      </c>
      <c r="I5">
        <v>360997.92176754028</v>
      </c>
      <c r="J5">
        <v>10690</v>
      </c>
      <c r="K5">
        <v>6058.9142857142861</v>
      </c>
      <c r="L5">
        <v>10690</v>
      </c>
      <c r="M5">
        <v>2831.3399399999998</v>
      </c>
      <c r="N5">
        <v>7086.26297120043</v>
      </c>
      <c r="O5">
        <v>-2.2857142857142749</v>
      </c>
      <c r="P5">
        <v>7302.4547898220417</v>
      </c>
      <c r="Q5">
        <v>110.85714285714285</v>
      </c>
    </row>
    <row r="6" spans="1:17" x14ac:dyDescent="0.25">
      <c r="A6">
        <v>300</v>
      </c>
      <c r="B6">
        <v>367000</v>
      </c>
      <c r="C6">
        <v>238931.90394092197</v>
      </c>
      <c r="D6">
        <v>385000</v>
      </c>
      <c r="E6">
        <v>286718.28472910635</v>
      </c>
      <c r="F6">
        <v>367000</v>
      </c>
      <c r="G6">
        <v>324091.60147295019</v>
      </c>
      <c r="H6">
        <v>385000</v>
      </c>
      <c r="I6">
        <v>358909.92176754028</v>
      </c>
      <c r="J6">
        <v>10690</v>
      </c>
      <c r="K6">
        <v>6063.3714285714286</v>
      </c>
      <c r="L6">
        <v>10690</v>
      </c>
      <c r="M6">
        <v>2835.70991</v>
      </c>
      <c r="N6">
        <v>7095.4079212405923</v>
      </c>
      <c r="O6">
        <v>-3.4285714285714279</v>
      </c>
      <c r="P6">
        <v>7310.098320793285</v>
      </c>
      <c r="Q6">
        <v>166.28571428571428</v>
      </c>
    </row>
    <row r="7" spans="1:17" x14ac:dyDescent="0.25">
      <c r="A7">
        <v>400</v>
      </c>
      <c r="B7">
        <v>367000</v>
      </c>
      <c r="C7">
        <v>237191.90394092197</v>
      </c>
      <c r="D7">
        <v>385000</v>
      </c>
      <c r="E7">
        <v>284630.28472910635</v>
      </c>
      <c r="F7">
        <v>367000</v>
      </c>
      <c r="G7">
        <v>322351.60147295019</v>
      </c>
      <c r="H7">
        <v>385000</v>
      </c>
      <c r="I7">
        <v>356821.92176754028</v>
      </c>
      <c r="J7">
        <v>10690</v>
      </c>
      <c r="K7">
        <v>6067.8285714285721</v>
      </c>
      <c r="L7">
        <v>10690</v>
      </c>
      <c r="M7">
        <v>2840.0798799999998</v>
      </c>
      <c r="N7">
        <v>7104.4901762459021</v>
      </c>
      <c r="O7">
        <v>-4.5714285714285499</v>
      </c>
      <c r="P7">
        <v>7317.6878585836848</v>
      </c>
      <c r="Q7">
        <v>221.71428571428569</v>
      </c>
    </row>
    <row r="8" spans="1:17" x14ac:dyDescent="0.25">
      <c r="A8">
        <v>500</v>
      </c>
      <c r="B8">
        <v>367000</v>
      </c>
      <c r="C8">
        <v>235451.90394092197</v>
      </c>
      <c r="D8">
        <v>385000</v>
      </c>
      <c r="E8">
        <v>282542.28472910635</v>
      </c>
      <c r="F8">
        <v>367000</v>
      </c>
      <c r="G8">
        <v>320611.60147295019</v>
      </c>
      <c r="H8">
        <v>385000</v>
      </c>
      <c r="I8">
        <v>354733.92176754028</v>
      </c>
      <c r="J8">
        <v>10690</v>
      </c>
      <c r="K8">
        <v>6072.2857142857147</v>
      </c>
      <c r="L8">
        <v>10690</v>
      </c>
      <c r="M8">
        <v>2844.44985</v>
      </c>
      <c r="N8">
        <v>7113.5101081766406</v>
      </c>
      <c r="O8">
        <v>-5.7142857142856718</v>
      </c>
      <c r="P8">
        <v>7325.2237082935162</v>
      </c>
      <c r="Q8">
        <v>277.14285714285717</v>
      </c>
    </row>
    <row r="9" spans="1:17" x14ac:dyDescent="0.25">
      <c r="A9">
        <v>600</v>
      </c>
      <c r="B9">
        <v>367000</v>
      </c>
      <c r="C9">
        <v>233711.90394092197</v>
      </c>
      <c r="D9">
        <v>385000</v>
      </c>
      <c r="E9">
        <v>280454.28472910635</v>
      </c>
      <c r="F9">
        <v>367000</v>
      </c>
      <c r="G9">
        <v>318871.60147295019</v>
      </c>
      <c r="H9">
        <v>385000</v>
      </c>
      <c r="I9">
        <v>352645.92176754028</v>
      </c>
      <c r="J9">
        <v>10690</v>
      </c>
      <c r="K9">
        <v>6076.7428571428572</v>
      </c>
      <c r="L9">
        <v>10690</v>
      </c>
      <c r="M9">
        <v>2848.8198199999997</v>
      </c>
      <c r="N9">
        <v>7122.4680860255576</v>
      </c>
      <c r="O9">
        <v>-6.8571428571428559</v>
      </c>
      <c r="P9">
        <v>7332.7061727681457</v>
      </c>
      <c r="Q9">
        <v>332.57142857142856</v>
      </c>
    </row>
    <row r="10" spans="1:17" x14ac:dyDescent="0.25">
      <c r="A10">
        <v>700</v>
      </c>
      <c r="B10">
        <v>367000</v>
      </c>
      <c r="C10">
        <v>231971.90394092197</v>
      </c>
      <c r="D10">
        <v>385000</v>
      </c>
      <c r="E10">
        <v>278366.28472910635</v>
      </c>
      <c r="F10">
        <v>367000</v>
      </c>
      <c r="G10">
        <v>317131.60147295019</v>
      </c>
      <c r="H10">
        <v>385000</v>
      </c>
      <c r="I10">
        <v>350557.92176754028</v>
      </c>
      <c r="J10">
        <v>10690</v>
      </c>
      <c r="K10">
        <v>6081.2</v>
      </c>
      <c r="L10">
        <v>10690</v>
      </c>
      <c r="M10">
        <v>2853.1897899999999</v>
      </c>
      <c r="N10">
        <v>7131.3644758517366</v>
      </c>
      <c r="O10">
        <v>-7.9999999999999778</v>
      </c>
      <c r="P10">
        <v>7340.1355526199204</v>
      </c>
      <c r="Q10">
        <v>388</v>
      </c>
    </row>
    <row r="11" spans="1:17" x14ac:dyDescent="0.25">
      <c r="A11">
        <v>800</v>
      </c>
      <c r="B11">
        <v>367000</v>
      </c>
      <c r="C11">
        <v>230231.90394092197</v>
      </c>
      <c r="D11">
        <v>385000</v>
      </c>
      <c r="E11">
        <v>276278.28472910635</v>
      </c>
      <c r="F11">
        <v>367000</v>
      </c>
      <c r="G11">
        <v>315391.60147295019</v>
      </c>
      <c r="H11">
        <v>385000</v>
      </c>
      <c r="I11">
        <v>348469.92176754028</v>
      </c>
      <c r="J11">
        <v>10690</v>
      </c>
      <c r="K11">
        <v>6085.6571428571442</v>
      </c>
      <c r="L11">
        <v>10690</v>
      </c>
      <c r="M11">
        <v>2857.5597600000001</v>
      </c>
      <c r="N11">
        <v>7140.1996408139266</v>
      </c>
      <c r="O11">
        <v>-9.1428571428570997</v>
      </c>
      <c r="P11">
        <v>7347.5121462496563</v>
      </c>
      <c r="Q11">
        <v>443.42857142857139</v>
      </c>
    </row>
    <row r="12" spans="1:17" x14ac:dyDescent="0.25">
      <c r="A12">
        <v>900</v>
      </c>
      <c r="B12">
        <v>367000</v>
      </c>
      <c r="C12">
        <v>228491.90394092197</v>
      </c>
      <c r="D12">
        <v>385000</v>
      </c>
      <c r="E12">
        <v>274190.28472910635</v>
      </c>
      <c r="F12">
        <v>367000</v>
      </c>
      <c r="G12">
        <v>313651.60147295019</v>
      </c>
      <c r="H12">
        <v>385000</v>
      </c>
      <c r="I12">
        <v>346381.92176754028</v>
      </c>
      <c r="J12">
        <v>10690</v>
      </c>
      <c r="K12">
        <v>6090.1142857142868</v>
      </c>
      <c r="L12">
        <v>10690</v>
      </c>
      <c r="M12">
        <v>2861.9297299999998</v>
      </c>
      <c r="N12">
        <v>7148.9739412032759</v>
      </c>
      <c r="O12">
        <v>-10.285714285714285</v>
      </c>
      <c r="P12">
        <v>7354.8362498677525</v>
      </c>
      <c r="Q12">
        <v>498.85714285714289</v>
      </c>
    </row>
    <row r="13" spans="1:17" x14ac:dyDescent="0.25">
      <c r="A13">
        <v>1000</v>
      </c>
      <c r="B13">
        <v>367000</v>
      </c>
      <c r="C13">
        <v>226751.90394092197</v>
      </c>
      <c r="D13">
        <v>385000</v>
      </c>
      <c r="E13">
        <v>272102.28472910635</v>
      </c>
      <c r="F13">
        <v>367000</v>
      </c>
      <c r="G13">
        <v>311911.60147295019</v>
      </c>
      <c r="H13">
        <v>385000</v>
      </c>
      <c r="I13">
        <v>344293.92176754028</v>
      </c>
      <c r="J13">
        <v>10690</v>
      </c>
      <c r="K13">
        <v>6094.5714285714294</v>
      </c>
      <c r="L13">
        <v>10690</v>
      </c>
      <c r="M13">
        <v>2866.2997</v>
      </c>
      <c r="N13">
        <v>7157.687734475553</v>
      </c>
      <c r="O13">
        <v>-11.428571428571344</v>
      </c>
      <c r="P13">
        <v>7362.1081575149456</v>
      </c>
      <c r="Q13">
        <v>554.28571428571433</v>
      </c>
    </row>
    <row r="14" spans="1:17" x14ac:dyDescent="0.25">
      <c r="A14">
        <v>1100</v>
      </c>
      <c r="B14">
        <v>367000</v>
      </c>
      <c r="C14">
        <v>225011.90394092197</v>
      </c>
      <c r="D14">
        <v>385000</v>
      </c>
      <c r="E14">
        <v>270014.28472910635</v>
      </c>
      <c r="F14">
        <v>367000</v>
      </c>
      <c r="G14">
        <v>310171.60147295019</v>
      </c>
      <c r="H14">
        <v>385000</v>
      </c>
      <c r="I14">
        <v>342205.92176754028</v>
      </c>
      <c r="J14">
        <v>10690</v>
      </c>
      <c r="K14">
        <v>6099.0285714285719</v>
      </c>
      <c r="L14">
        <v>10690</v>
      </c>
      <c r="M14">
        <v>2870.6696699999998</v>
      </c>
      <c r="N14">
        <v>7166.3413752828092</v>
      </c>
      <c r="O14">
        <v>-12.571428571428529</v>
      </c>
      <c r="P14">
        <v>7369.3281610827044</v>
      </c>
      <c r="Q14">
        <v>609.71428571428567</v>
      </c>
    </row>
    <row r="15" spans="1:17" x14ac:dyDescent="0.25">
      <c r="A15">
        <v>1200</v>
      </c>
      <c r="B15">
        <v>367000</v>
      </c>
      <c r="C15">
        <v>223271.90394092197</v>
      </c>
      <c r="D15">
        <v>385000</v>
      </c>
      <c r="E15">
        <v>267926.28472910635</v>
      </c>
      <c r="F15">
        <v>367000</v>
      </c>
      <c r="G15">
        <v>308431.60147295019</v>
      </c>
      <c r="H15">
        <v>385000</v>
      </c>
      <c r="I15">
        <v>340117.92176754028</v>
      </c>
      <c r="J15">
        <v>10690</v>
      </c>
      <c r="K15">
        <v>6103.4857142857154</v>
      </c>
      <c r="L15">
        <v>10690</v>
      </c>
      <c r="M15">
        <v>2875.03964</v>
      </c>
      <c r="N15">
        <v>7174.9352155045181</v>
      </c>
      <c r="O15">
        <v>-13.714285714285712</v>
      </c>
      <c r="P15">
        <v>7376.4965503332542</v>
      </c>
      <c r="Q15">
        <v>665.14285714285711</v>
      </c>
    </row>
    <row r="16" spans="1:17" x14ac:dyDescent="0.25">
      <c r="A16">
        <v>1300</v>
      </c>
      <c r="B16">
        <v>307000</v>
      </c>
      <c r="C16">
        <v>217837.69785872858</v>
      </c>
      <c r="D16">
        <v>349000</v>
      </c>
      <c r="E16">
        <v>261405.23743047431</v>
      </c>
      <c r="F16">
        <v>307000</v>
      </c>
      <c r="G16">
        <v>305955.2461636152</v>
      </c>
      <c r="H16">
        <v>349000</v>
      </c>
      <c r="I16">
        <v>337146.29539633828</v>
      </c>
      <c r="J16">
        <v>9020</v>
      </c>
      <c r="K16">
        <v>6107.942857142858</v>
      </c>
      <c r="L16">
        <v>9020</v>
      </c>
      <c r="M16">
        <v>2879.4096099999997</v>
      </c>
      <c r="N16">
        <v>7749.0472790545227</v>
      </c>
      <c r="O16">
        <v>-14.857142857142835</v>
      </c>
      <c r="P16">
        <v>8143.5402830927851</v>
      </c>
      <c r="Q16">
        <v>720.57142857142867</v>
      </c>
    </row>
    <row r="17" spans="1:17" x14ac:dyDescent="0.25">
      <c r="A17">
        <v>1400</v>
      </c>
      <c r="B17">
        <v>307000</v>
      </c>
      <c r="C17">
        <v>215812.69785872858</v>
      </c>
      <c r="D17">
        <v>349000</v>
      </c>
      <c r="E17">
        <v>258975.23743047431</v>
      </c>
      <c r="F17">
        <v>307000</v>
      </c>
      <c r="G17">
        <v>303930.2461636152</v>
      </c>
      <c r="H17">
        <v>349000</v>
      </c>
      <c r="I17">
        <v>334716.29539633828</v>
      </c>
      <c r="J17">
        <v>9020</v>
      </c>
      <c r="K17">
        <v>6112.4</v>
      </c>
      <c r="L17">
        <v>9020</v>
      </c>
      <c r="M17">
        <v>2883.7795799999999</v>
      </c>
      <c r="N17">
        <v>7768.351953750438</v>
      </c>
      <c r="O17">
        <v>-15.999999999999956</v>
      </c>
      <c r="P17">
        <v>8160.1816749824111</v>
      </c>
      <c r="Q17">
        <v>776</v>
      </c>
    </row>
    <row r="18" spans="1:17" x14ac:dyDescent="0.25">
      <c r="A18">
        <v>1500</v>
      </c>
      <c r="B18">
        <v>307000</v>
      </c>
      <c r="C18">
        <v>213787.69785872858</v>
      </c>
      <c r="D18">
        <v>349000</v>
      </c>
      <c r="E18">
        <v>256545.23743047431</v>
      </c>
      <c r="F18">
        <v>307000</v>
      </c>
      <c r="G18">
        <v>301905.2461636152</v>
      </c>
      <c r="H18">
        <v>349000</v>
      </c>
      <c r="I18">
        <v>332286.29539633828</v>
      </c>
      <c r="J18">
        <v>9020</v>
      </c>
      <c r="K18">
        <v>6116.8571428571431</v>
      </c>
      <c r="L18">
        <v>9020</v>
      </c>
      <c r="M18">
        <v>2888.1495500000001</v>
      </c>
      <c r="N18">
        <v>7787.5288377434226</v>
      </c>
      <c r="O18">
        <v>-17.142857142857078</v>
      </c>
      <c r="P18">
        <v>8176.7075394415115</v>
      </c>
      <c r="Q18">
        <v>831.42857142857144</v>
      </c>
    </row>
    <row r="19" spans="1:17" x14ac:dyDescent="0.25">
      <c r="A19">
        <v>1600</v>
      </c>
      <c r="B19">
        <v>307000</v>
      </c>
      <c r="C19">
        <v>211762.69785872858</v>
      </c>
      <c r="D19">
        <v>349000</v>
      </c>
      <c r="E19">
        <v>254115.23743047431</v>
      </c>
      <c r="F19">
        <v>307000</v>
      </c>
      <c r="G19">
        <v>299880.2461636152</v>
      </c>
      <c r="H19">
        <v>349000</v>
      </c>
      <c r="I19">
        <v>329856.29539633828</v>
      </c>
      <c r="J19">
        <v>9020</v>
      </c>
      <c r="K19">
        <v>6121.3142857142857</v>
      </c>
      <c r="L19">
        <v>9020</v>
      </c>
      <c r="M19">
        <v>2892.5195199999998</v>
      </c>
      <c r="N19">
        <v>7806.5785840612243</v>
      </c>
      <c r="O19">
        <v>-18.285714285714199</v>
      </c>
      <c r="P19">
        <v>8193.1183426048756</v>
      </c>
      <c r="Q19">
        <v>886.85714285714278</v>
      </c>
    </row>
    <row r="20" spans="1:17" x14ac:dyDescent="0.25">
      <c r="A20">
        <v>1700</v>
      </c>
      <c r="B20">
        <v>307000</v>
      </c>
      <c r="C20">
        <v>209737.69785872858</v>
      </c>
      <c r="D20">
        <v>349000</v>
      </c>
      <c r="E20">
        <v>251685.23743047431</v>
      </c>
      <c r="F20">
        <v>307000</v>
      </c>
      <c r="G20">
        <v>297855.2461636152</v>
      </c>
      <c r="H20">
        <v>349000</v>
      </c>
      <c r="I20">
        <v>327426.29539633828</v>
      </c>
      <c r="J20">
        <v>9020</v>
      </c>
      <c r="K20">
        <v>6125.7714285714292</v>
      </c>
      <c r="L20">
        <v>9020</v>
      </c>
      <c r="M20">
        <v>2896.88949</v>
      </c>
      <c r="N20">
        <v>7825.5018360752392</v>
      </c>
      <c r="O20">
        <v>-19.428571428571445</v>
      </c>
      <c r="P20">
        <v>8209.4145430975132</v>
      </c>
      <c r="Q20">
        <v>942.28571428571422</v>
      </c>
    </row>
    <row r="21" spans="1:17" x14ac:dyDescent="0.25">
      <c r="A21">
        <v>1800</v>
      </c>
      <c r="B21">
        <v>307000</v>
      </c>
      <c r="C21">
        <v>207712.69785872858</v>
      </c>
      <c r="D21">
        <v>349000</v>
      </c>
      <c r="E21">
        <v>249255.23743047431</v>
      </c>
      <c r="F21">
        <v>307000</v>
      </c>
      <c r="G21">
        <v>295830.2461636152</v>
      </c>
      <c r="H21">
        <v>349000</v>
      </c>
      <c r="I21">
        <v>324996.29539633828</v>
      </c>
      <c r="J21">
        <v>9020</v>
      </c>
      <c r="K21">
        <v>6130.2285714285717</v>
      </c>
      <c r="L21">
        <v>9020</v>
      </c>
      <c r="M21">
        <v>2901.2594599999998</v>
      </c>
      <c r="N21">
        <v>7844.299227626293</v>
      </c>
      <c r="O21">
        <v>-20.571428571428569</v>
      </c>
      <c r="P21">
        <v>8225.5965921062616</v>
      </c>
      <c r="Q21">
        <v>997.71428571428578</v>
      </c>
    </row>
    <row r="22" spans="1:17" x14ac:dyDescent="0.25">
      <c r="A22">
        <v>1900</v>
      </c>
      <c r="B22">
        <v>307000</v>
      </c>
      <c r="C22">
        <v>205687.69785872858</v>
      </c>
      <c r="D22">
        <v>349000</v>
      </c>
      <c r="E22">
        <v>246825.23743047431</v>
      </c>
      <c r="F22">
        <v>307000</v>
      </c>
      <c r="G22">
        <v>293805.2461636152</v>
      </c>
      <c r="H22">
        <v>349000</v>
      </c>
      <c r="I22">
        <v>322566.29539633828</v>
      </c>
      <c r="J22">
        <v>9020</v>
      </c>
      <c r="K22">
        <v>6134.6857142857152</v>
      </c>
      <c r="L22">
        <v>9020</v>
      </c>
      <c r="M22">
        <v>2905.62943</v>
      </c>
      <c r="N22">
        <v>7862.97138314738</v>
      </c>
      <c r="O22">
        <v>-21.714285714285566</v>
      </c>
      <c r="P22">
        <v>8241.6649334494177</v>
      </c>
      <c r="Q22">
        <v>1053.1428571428571</v>
      </c>
    </row>
    <row r="23" spans="1:17" x14ac:dyDescent="0.25">
      <c r="A23">
        <v>2000</v>
      </c>
      <c r="B23">
        <v>307000</v>
      </c>
      <c r="C23">
        <v>203662.69785872858</v>
      </c>
      <c r="D23">
        <v>349000</v>
      </c>
      <c r="E23">
        <v>244395.23743047431</v>
      </c>
      <c r="F23">
        <v>307000</v>
      </c>
      <c r="G23">
        <v>291780.2461636152</v>
      </c>
      <c r="H23">
        <v>349000</v>
      </c>
      <c r="I23">
        <v>320136.29539633828</v>
      </c>
      <c r="J23">
        <v>9020</v>
      </c>
      <c r="K23">
        <v>6139.1428571428578</v>
      </c>
      <c r="L23">
        <v>9020</v>
      </c>
      <c r="M23">
        <v>2909.9993999999997</v>
      </c>
      <c r="N23">
        <v>7881.5189177834118</v>
      </c>
      <c r="O23">
        <v>-22.857142857142687</v>
      </c>
      <c r="P23">
        <v>8257.6200036443915</v>
      </c>
      <c r="Q23">
        <v>1108.5714285714287</v>
      </c>
    </row>
    <row r="24" spans="1:17" x14ac:dyDescent="0.25">
      <c r="A24">
        <v>2100</v>
      </c>
      <c r="B24">
        <v>307000</v>
      </c>
      <c r="C24">
        <v>201637.69785872858</v>
      </c>
      <c r="D24">
        <v>349000</v>
      </c>
      <c r="E24">
        <v>241965.23743047431</v>
      </c>
      <c r="F24">
        <v>307000</v>
      </c>
      <c r="G24">
        <v>289755.2461636152</v>
      </c>
      <c r="H24">
        <v>349000</v>
      </c>
      <c r="I24">
        <v>317706.29539633828</v>
      </c>
      <c r="J24">
        <v>9020</v>
      </c>
      <c r="K24">
        <v>6143.6</v>
      </c>
      <c r="L24">
        <v>9020</v>
      </c>
      <c r="M24">
        <v>2914.3693699999999</v>
      </c>
      <c r="N24">
        <v>7899.9424375080953</v>
      </c>
      <c r="O24">
        <v>-23.999999999999932</v>
      </c>
      <c r="P24">
        <v>8273.4622319734735</v>
      </c>
      <c r="Q24">
        <v>1164</v>
      </c>
    </row>
    <row r="25" spans="1:17" x14ac:dyDescent="0.25">
      <c r="A25">
        <v>2200</v>
      </c>
      <c r="B25">
        <v>307000</v>
      </c>
      <c r="C25">
        <v>199612.69785872858</v>
      </c>
      <c r="D25">
        <v>349000</v>
      </c>
      <c r="E25">
        <v>239535.23743047431</v>
      </c>
      <c r="F25">
        <v>307000</v>
      </c>
      <c r="G25">
        <v>287730.2461636152</v>
      </c>
      <c r="H25">
        <v>349000</v>
      </c>
      <c r="I25">
        <v>315276.29539633828</v>
      </c>
      <c r="J25">
        <v>9020</v>
      </c>
      <c r="K25">
        <v>6148.0571428571429</v>
      </c>
      <c r="L25">
        <v>9020</v>
      </c>
      <c r="M25">
        <v>2918.7393400000001</v>
      </c>
      <c r="N25">
        <v>7918.2425392379437</v>
      </c>
      <c r="O25">
        <v>-25.142857142857057</v>
      </c>
      <c r="P25">
        <v>8289.1920405476649</v>
      </c>
      <c r="Q25">
        <v>1219.4285714285713</v>
      </c>
    </row>
    <row r="26" spans="1:17" x14ac:dyDescent="0.25">
      <c r="A26">
        <v>2300</v>
      </c>
      <c r="B26">
        <v>307000</v>
      </c>
      <c r="C26">
        <v>197587.69785872858</v>
      </c>
      <c r="D26">
        <v>349000</v>
      </c>
      <c r="E26">
        <v>237105.23743047431</v>
      </c>
      <c r="F26">
        <v>307000</v>
      </c>
      <c r="G26">
        <v>285705.2461636152</v>
      </c>
      <c r="H26">
        <v>349000</v>
      </c>
      <c r="I26">
        <v>312846.29539633828</v>
      </c>
      <c r="J26">
        <v>9020</v>
      </c>
      <c r="K26">
        <v>6152.5142857142864</v>
      </c>
      <c r="L26">
        <v>9020</v>
      </c>
      <c r="M26">
        <v>2923.1093099999998</v>
      </c>
      <c r="N26">
        <v>7936.4198109435156</v>
      </c>
      <c r="O26">
        <v>-26.285714285714178</v>
      </c>
      <c r="P26">
        <v>8304.8098443686577</v>
      </c>
      <c r="Q26">
        <v>1274.8571428571429</v>
      </c>
    </row>
    <row r="27" spans="1:17" x14ac:dyDescent="0.25">
      <c r="A27">
        <v>2400</v>
      </c>
      <c r="B27">
        <v>307000</v>
      </c>
      <c r="C27">
        <v>195562.69785872858</v>
      </c>
      <c r="D27">
        <v>349000</v>
      </c>
      <c r="E27">
        <v>234675.23743047431</v>
      </c>
      <c r="F27">
        <v>307000</v>
      </c>
      <c r="G27">
        <v>283680.2461636152</v>
      </c>
      <c r="H27">
        <v>349000</v>
      </c>
      <c r="I27">
        <v>310416.29539633828</v>
      </c>
      <c r="J27">
        <v>9020</v>
      </c>
      <c r="K27">
        <v>6156.9714285714281</v>
      </c>
      <c r="L27">
        <v>9020</v>
      </c>
      <c r="M27">
        <v>2927.47928</v>
      </c>
      <c r="N27">
        <v>7954.4748317579242</v>
      </c>
      <c r="O27">
        <v>-27.428571428571423</v>
      </c>
      <c r="P27">
        <v>8320.3160513889779</v>
      </c>
      <c r="Q27">
        <v>1330.2857142857142</v>
      </c>
    </row>
    <row r="28" spans="1:17" x14ac:dyDescent="0.25">
      <c r="A28">
        <v>2500</v>
      </c>
      <c r="B28">
        <v>307000</v>
      </c>
      <c r="C28">
        <v>193537.69785872858</v>
      </c>
      <c r="D28">
        <v>349000</v>
      </c>
      <c r="E28">
        <v>232245.23743047431</v>
      </c>
      <c r="F28">
        <v>307000</v>
      </c>
      <c r="G28">
        <v>281655.2461636152</v>
      </c>
      <c r="H28">
        <v>349000</v>
      </c>
      <c r="I28">
        <v>307986.29539633828</v>
      </c>
      <c r="J28">
        <v>9020</v>
      </c>
      <c r="K28">
        <v>6161.4285714285725</v>
      </c>
      <c r="L28">
        <v>9020</v>
      </c>
      <c r="M28">
        <v>2931.8492499999998</v>
      </c>
      <c r="N28">
        <v>7972.4081720826716</v>
      </c>
      <c r="O28">
        <v>-28.571428571428672</v>
      </c>
      <c r="P28">
        <v>8335.7110625703026</v>
      </c>
      <c r="Q28">
        <v>1385.7142857142858</v>
      </c>
    </row>
    <row r="29" spans="1:17" x14ac:dyDescent="0.25">
      <c r="A29">
        <v>2600</v>
      </c>
      <c r="B29">
        <v>307000</v>
      </c>
      <c r="C29">
        <v>191512.69785872858</v>
      </c>
      <c r="D29">
        <v>349000</v>
      </c>
      <c r="E29">
        <v>229815.23743047431</v>
      </c>
      <c r="F29">
        <v>307000</v>
      </c>
      <c r="G29">
        <v>279630.2461636152</v>
      </c>
      <c r="H29">
        <v>349000</v>
      </c>
      <c r="I29">
        <v>305556.29539633828</v>
      </c>
      <c r="J29">
        <v>9020</v>
      </c>
      <c r="K29">
        <v>6165.885714285715</v>
      </c>
      <c r="L29">
        <v>9020</v>
      </c>
      <c r="M29">
        <v>2936.21922</v>
      </c>
      <c r="N29">
        <v>7990.2203936908936</v>
      </c>
      <c r="O29">
        <v>-29.714285714285669</v>
      </c>
      <c r="P29">
        <v>8350.9952719400062</v>
      </c>
      <c r="Q29">
        <v>1441.1428571428573</v>
      </c>
    </row>
    <row r="30" spans="1:17" x14ac:dyDescent="0.25">
      <c r="A30">
        <v>2700</v>
      </c>
      <c r="B30">
        <v>307000</v>
      </c>
      <c r="C30">
        <v>189487.69785872858</v>
      </c>
      <c r="D30">
        <v>349000</v>
      </c>
      <c r="E30">
        <v>227385.23743047431</v>
      </c>
      <c r="F30">
        <v>307000</v>
      </c>
      <c r="G30">
        <v>277605.2461636152</v>
      </c>
      <c r="H30">
        <v>349000</v>
      </c>
      <c r="I30">
        <v>303126.29539633828</v>
      </c>
      <c r="J30">
        <v>9020</v>
      </c>
      <c r="K30">
        <v>6170.3428571428585</v>
      </c>
      <c r="L30">
        <v>9020</v>
      </c>
      <c r="M30">
        <v>2940.5891899999997</v>
      </c>
      <c r="N30">
        <v>8007.9120498279972</v>
      </c>
      <c r="O30">
        <v>-30.857142857142666</v>
      </c>
      <c r="P30">
        <v>8366.1690666459144</v>
      </c>
      <c r="Q30">
        <v>1496.5714285714284</v>
      </c>
    </row>
    <row r="31" spans="1:17" x14ac:dyDescent="0.25">
      <c r="A31">
        <v>2800</v>
      </c>
      <c r="B31">
        <v>307000</v>
      </c>
      <c r="C31">
        <v>187462.69785872858</v>
      </c>
      <c r="D31">
        <v>349000</v>
      </c>
      <c r="E31">
        <v>224955.23743047431</v>
      </c>
      <c r="F31">
        <v>307000</v>
      </c>
      <c r="G31">
        <v>275580.2461636152</v>
      </c>
      <c r="H31">
        <v>349000</v>
      </c>
      <c r="I31">
        <v>300696.29539633828</v>
      </c>
      <c r="J31">
        <v>9020</v>
      </c>
      <c r="K31">
        <v>6174.8</v>
      </c>
      <c r="L31">
        <v>9020</v>
      </c>
      <c r="M31">
        <v>2944.9591599999999</v>
      </c>
      <c r="N31">
        <v>8025.4836853098313</v>
      </c>
      <c r="O31">
        <v>-31.999999999999911</v>
      </c>
      <c r="P31">
        <v>8381.2328270093512</v>
      </c>
      <c r="Q31">
        <v>1552</v>
      </c>
    </row>
    <row r="32" spans="1:17" x14ac:dyDescent="0.25">
      <c r="A32">
        <v>2900</v>
      </c>
      <c r="B32">
        <v>307000</v>
      </c>
      <c r="C32">
        <v>185437.69785872858</v>
      </c>
      <c r="D32">
        <v>349000</v>
      </c>
      <c r="E32">
        <v>222525.23743047431</v>
      </c>
      <c r="F32">
        <v>307000</v>
      </c>
      <c r="G32">
        <v>273555.2461636152</v>
      </c>
      <c r="H32">
        <v>349000</v>
      </c>
      <c r="I32">
        <v>298266.29539633828</v>
      </c>
      <c r="J32">
        <v>9020</v>
      </c>
      <c r="K32">
        <v>6179.2571428571428</v>
      </c>
      <c r="L32">
        <v>9020</v>
      </c>
      <c r="M32">
        <v>2949.3291300000001</v>
      </c>
      <c r="N32">
        <v>8042.9358366183651</v>
      </c>
      <c r="O32">
        <v>-33.142857142856911</v>
      </c>
      <c r="P32">
        <v>8396.1869265764271</v>
      </c>
      <c r="Q32">
        <v>1607.4285714285713</v>
      </c>
    </row>
    <row r="33" spans="1:17" x14ac:dyDescent="0.25">
      <c r="A33">
        <v>3000</v>
      </c>
      <c r="B33">
        <v>307000</v>
      </c>
      <c r="C33">
        <v>183412.69785872858</v>
      </c>
      <c r="D33">
        <v>349000</v>
      </c>
      <c r="E33">
        <v>220095.23743047431</v>
      </c>
      <c r="F33">
        <v>307000</v>
      </c>
      <c r="G33">
        <v>271530.2461636152</v>
      </c>
      <c r="H33">
        <v>349000</v>
      </c>
      <c r="I33">
        <v>295836.29539633828</v>
      </c>
      <c r="J33">
        <v>9020</v>
      </c>
      <c r="K33">
        <v>6183.7142857142862</v>
      </c>
      <c r="L33">
        <v>9020</v>
      </c>
      <c r="M33">
        <v>2953.6990999999998</v>
      </c>
      <c r="N33">
        <v>8060.2690319949734</v>
      </c>
      <c r="O33">
        <v>-34.285714285714157</v>
      </c>
      <c r="P33">
        <v>8411.0317321676739</v>
      </c>
      <c r="Q33">
        <v>1662.8571428571429</v>
      </c>
    </row>
    <row r="34" spans="1:17" x14ac:dyDescent="0.25">
      <c r="A34">
        <v>3100</v>
      </c>
      <c r="B34">
        <v>307000</v>
      </c>
      <c r="C34">
        <v>181387.69785872858</v>
      </c>
      <c r="D34">
        <v>349000</v>
      </c>
      <c r="E34">
        <v>217665.23743047431</v>
      </c>
      <c r="F34">
        <v>307000</v>
      </c>
      <c r="G34">
        <v>269505.2461636152</v>
      </c>
      <c r="H34">
        <v>349000</v>
      </c>
      <c r="I34">
        <v>293406.29539633828</v>
      </c>
      <c r="J34">
        <v>9020</v>
      </c>
      <c r="K34">
        <v>6188.1714285714279</v>
      </c>
      <c r="L34">
        <v>9020</v>
      </c>
      <c r="M34">
        <v>2958.06907</v>
      </c>
      <c r="N34">
        <v>8077.4837915313265</v>
      </c>
      <c r="O34">
        <v>-35.428571428571402</v>
      </c>
      <c r="P34">
        <v>8425.7676039259713</v>
      </c>
      <c r="Q34">
        <v>1718.2857142857144</v>
      </c>
    </row>
    <row r="35" spans="1:17" x14ac:dyDescent="0.25">
      <c r="A35">
        <v>3200</v>
      </c>
      <c r="B35">
        <v>307000</v>
      </c>
      <c r="C35">
        <v>179362.69785872858</v>
      </c>
      <c r="D35">
        <v>349000</v>
      </c>
      <c r="E35">
        <v>215235.23743047431</v>
      </c>
      <c r="F35">
        <v>307000</v>
      </c>
      <c r="G35">
        <v>267480.2461636152</v>
      </c>
      <c r="H35">
        <v>349000</v>
      </c>
      <c r="I35">
        <v>290976.29539633828</v>
      </c>
      <c r="J35">
        <v>9020</v>
      </c>
      <c r="K35">
        <v>6192.6285714285714</v>
      </c>
      <c r="L35">
        <v>9020</v>
      </c>
      <c r="M35">
        <v>2962.4390399999997</v>
      </c>
      <c r="N35">
        <v>8094.5806272579675</v>
      </c>
      <c r="O35">
        <v>-36.571428571428399</v>
      </c>
      <c r="P35">
        <v>8440.3948953628205</v>
      </c>
      <c r="Q35">
        <v>1773.7142857142856</v>
      </c>
    </row>
    <row r="36" spans="1:17" x14ac:dyDescent="0.25">
      <c r="A36">
        <v>3300</v>
      </c>
      <c r="B36">
        <v>267000</v>
      </c>
      <c r="C36">
        <v>181737.63131462445</v>
      </c>
      <c r="D36">
        <v>304000</v>
      </c>
      <c r="E36">
        <v>218085.15757754934</v>
      </c>
      <c r="F36">
        <v>267000</v>
      </c>
      <c r="G36">
        <v>266943.86032184178</v>
      </c>
      <c r="H36">
        <v>304000</v>
      </c>
      <c r="I36">
        <v>290332.6323862102</v>
      </c>
      <c r="J36">
        <v>7780</v>
      </c>
      <c r="K36">
        <v>6197.0857142857139</v>
      </c>
      <c r="L36">
        <v>7780</v>
      </c>
      <c r="M36">
        <v>2966.8090099999999</v>
      </c>
      <c r="N36">
        <v>6031.7216284156475</v>
      </c>
      <c r="O36">
        <v>-37.714285714285644</v>
      </c>
      <c r="P36">
        <v>6293.3136863886875</v>
      </c>
      <c r="Q36">
        <v>1829.1428571428571</v>
      </c>
    </row>
    <row r="37" spans="1:17" x14ac:dyDescent="0.25">
      <c r="A37">
        <v>3400</v>
      </c>
      <c r="B37">
        <v>267000</v>
      </c>
      <c r="C37">
        <v>179997.63131462445</v>
      </c>
      <c r="D37">
        <v>304000</v>
      </c>
      <c r="E37">
        <v>215997.15757754934</v>
      </c>
      <c r="F37">
        <v>267000</v>
      </c>
      <c r="G37">
        <v>265203.86032184178</v>
      </c>
      <c r="H37">
        <v>304000</v>
      </c>
      <c r="I37">
        <v>288244.6323862102</v>
      </c>
      <c r="J37">
        <v>7780</v>
      </c>
      <c r="K37">
        <v>6201.5428571428583</v>
      </c>
      <c r="L37">
        <v>7780</v>
      </c>
      <c r="M37">
        <v>2971.1789800000001</v>
      </c>
      <c r="N37">
        <v>6042.7627712731</v>
      </c>
      <c r="O37">
        <v>-38.85714285714289</v>
      </c>
      <c r="P37">
        <v>6302.2795357592649</v>
      </c>
      <c r="Q37">
        <v>1884.5714285714284</v>
      </c>
    </row>
    <row r="38" spans="1:17" x14ac:dyDescent="0.25">
      <c r="A38">
        <v>3500</v>
      </c>
      <c r="B38">
        <v>267000</v>
      </c>
      <c r="C38">
        <v>178257.63131462445</v>
      </c>
      <c r="D38">
        <v>304000</v>
      </c>
      <c r="E38">
        <v>213909.15757754934</v>
      </c>
      <c r="F38">
        <v>267000</v>
      </c>
      <c r="G38">
        <v>263463.86032184178</v>
      </c>
      <c r="H38">
        <v>304000</v>
      </c>
      <c r="I38">
        <v>286156.6323862102</v>
      </c>
      <c r="J38">
        <v>7780</v>
      </c>
      <c r="K38">
        <v>6206.0000000000009</v>
      </c>
      <c r="L38">
        <v>7780</v>
      </c>
      <c r="M38">
        <v>2975.5489499999999</v>
      </c>
      <c r="N38">
        <v>6053.7187134000751</v>
      </c>
      <c r="O38">
        <v>-39.999999999999886</v>
      </c>
      <c r="P38">
        <v>6311.1714158966388</v>
      </c>
      <c r="Q38">
        <v>1940</v>
      </c>
    </row>
    <row r="39" spans="1:17" x14ac:dyDescent="0.25">
      <c r="A39">
        <v>3600</v>
      </c>
      <c r="B39">
        <v>267000</v>
      </c>
      <c r="C39">
        <v>176517.63131462445</v>
      </c>
      <c r="D39">
        <v>304000</v>
      </c>
      <c r="E39">
        <v>211821.15757754934</v>
      </c>
      <c r="F39">
        <v>267000</v>
      </c>
      <c r="G39">
        <v>261723.86032184181</v>
      </c>
      <c r="H39">
        <v>304000</v>
      </c>
      <c r="I39">
        <v>284068.6323862102</v>
      </c>
      <c r="J39">
        <v>7780</v>
      </c>
      <c r="K39">
        <v>6210.4571428571435</v>
      </c>
      <c r="L39">
        <v>7780</v>
      </c>
      <c r="M39">
        <v>2979.9189200000001</v>
      </c>
      <c r="N39">
        <v>6064.5899583975224</v>
      </c>
      <c r="O39">
        <v>-41.142857142857139</v>
      </c>
      <c r="P39">
        <v>6319.989684138709</v>
      </c>
      <c r="Q39">
        <v>1995.4285714285716</v>
      </c>
    </row>
    <row r="40" spans="1:17" x14ac:dyDescent="0.25">
      <c r="A40">
        <v>3700</v>
      </c>
      <c r="B40">
        <v>267000</v>
      </c>
      <c r="C40">
        <v>174777.63131462445</v>
      </c>
      <c r="D40">
        <v>304000</v>
      </c>
      <c r="E40">
        <v>209733.15757754934</v>
      </c>
      <c r="F40">
        <v>267000</v>
      </c>
      <c r="G40">
        <v>259983.86032184181</v>
      </c>
      <c r="H40">
        <v>304000</v>
      </c>
      <c r="I40">
        <v>281980.6323862102</v>
      </c>
      <c r="J40">
        <v>7780</v>
      </c>
      <c r="K40">
        <v>6214.9142857142861</v>
      </c>
      <c r="L40">
        <v>7780</v>
      </c>
      <c r="M40">
        <v>2984.2888899999998</v>
      </c>
      <c r="N40">
        <v>6075.3770035000289</v>
      </c>
      <c r="O40">
        <v>-42.285714285714384</v>
      </c>
      <c r="P40">
        <v>6328.7346928788693</v>
      </c>
      <c r="Q40">
        <v>2050.8571428571431</v>
      </c>
    </row>
    <row r="41" spans="1:17" x14ac:dyDescent="0.25">
      <c r="A41">
        <v>3800</v>
      </c>
      <c r="B41">
        <v>267000</v>
      </c>
      <c r="C41">
        <v>173037.63131462445</v>
      </c>
      <c r="D41">
        <v>304000</v>
      </c>
      <c r="E41">
        <v>207645.15757754934</v>
      </c>
      <c r="F41">
        <v>267000</v>
      </c>
      <c r="G41">
        <v>258243.86032184181</v>
      </c>
      <c r="H41">
        <v>304000</v>
      </c>
      <c r="I41">
        <v>279892.6323862102</v>
      </c>
      <c r="J41">
        <v>7780</v>
      </c>
      <c r="K41">
        <v>6219.3714285714295</v>
      </c>
      <c r="L41">
        <v>7780</v>
      </c>
      <c r="M41">
        <v>2988.65886</v>
      </c>
      <c r="N41">
        <v>6086.0803396493984</v>
      </c>
      <c r="O41">
        <v>-43.428571428571132</v>
      </c>
      <c r="P41">
        <v>6337.4067896024062</v>
      </c>
      <c r="Q41">
        <v>2106.2857142857142</v>
      </c>
    </row>
    <row r="42" spans="1:17" x14ac:dyDescent="0.25">
      <c r="A42">
        <v>3900</v>
      </c>
      <c r="B42">
        <v>267000</v>
      </c>
      <c r="C42">
        <v>171297.63131462445</v>
      </c>
      <c r="D42">
        <v>304000</v>
      </c>
      <c r="E42">
        <v>205557.15757754934</v>
      </c>
      <c r="F42">
        <v>267000</v>
      </c>
      <c r="G42">
        <v>256503.86032184181</v>
      </c>
      <c r="H42">
        <v>304000</v>
      </c>
      <c r="I42">
        <v>277804.6323862102</v>
      </c>
      <c r="J42">
        <v>7780</v>
      </c>
      <c r="K42">
        <v>6223.8285714285712</v>
      </c>
      <c r="L42">
        <v>7780</v>
      </c>
      <c r="M42">
        <v>2993.0288299999997</v>
      </c>
      <c r="N42">
        <v>6096.7004515665158</v>
      </c>
      <c r="O42">
        <v>-44.571428571428378</v>
      </c>
      <c r="P42">
        <v>6346.0063169217383</v>
      </c>
      <c r="Q42">
        <v>2161.7142857142858</v>
      </c>
    </row>
    <row r="43" spans="1:17" x14ac:dyDescent="0.25">
      <c r="A43">
        <v>4000</v>
      </c>
      <c r="B43">
        <v>267000</v>
      </c>
      <c r="C43">
        <v>169557.63131462445</v>
      </c>
      <c r="D43">
        <v>304000</v>
      </c>
      <c r="E43">
        <v>203469.15757754934</v>
      </c>
      <c r="F43">
        <v>267000</v>
      </c>
      <c r="G43">
        <v>254763.86032184181</v>
      </c>
      <c r="H43">
        <v>304000</v>
      </c>
      <c r="I43">
        <v>275716.6323862102</v>
      </c>
      <c r="J43">
        <v>7780</v>
      </c>
      <c r="K43">
        <v>6228.2857142857147</v>
      </c>
      <c r="L43">
        <v>7780</v>
      </c>
      <c r="M43">
        <v>2997.3987999999999</v>
      </c>
      <c r="N43">
        <v>6107.2378178214867</v>
      </c>
      <c r="O43">
        <v>-45.714285714285374</v>
      </c>
      <c r="P43">
        <v>6354.5336126104921</v>
      </c>
      <c r="Q43">
        <v>2217.1428571428573</v>
      </c>
    </row>
    <row r="44" spans="1:17" x14ac:dyDescent="0.25">
      <c r="A44">
        <v>4100</v>
      </c>
      <c r="B44">
        <v>267000</v>
      </c>
      <c r="C44">
        <v>167817.63131462445</v>
      </c>
      <c r="D44">
        <v>304000</v>
      </c>
      <c r="E44">
        <v>201381.15757754934</v>
      </c>
      <c r="F44">
        <v>267000</v>
      </c>
      <c r="G44">
        <v>253023.86032184181</v>
      </c>
      <c r="H44">
        <v>304000</v>
      </c>
      <c r="I44">
        <v>273628.6323862102</v>
      </c>
      <c r="J44">
        <v>7780</v>
      </c>
      <c r="K44">
        <v>6232.7428571428572</v>
      </c>
      <c r="L44">
        <v>7780</v>
      </c>
      <c r="M44">
        <v>3001.7687700000001</v>
      </c>
      <c r="N44">
        <v>6117.6929109021021</v>
      </c>
      <c r="O44">
        <v>-2.857142857142617</v>
      </c>
      <c r="P44">
        <v>6362.9890096364243</v>
      </c>
      <c r="Q44">
        <v>2272.5714285714284</v>
      </c>
    </row>
    <row r="45" spans="1:17" x14ac:dyDescent="0.25">
      <c r="A45">
        <v>4200</v>
      </c>
      <c r="B45">
        <v>267000</v>
      </c>
      <c r="C45">
        <v>166077.63131462445</v>
      </c>
      <c r="D45">
        <v>304000</v>
      </c>
      <c r="E45">
        <v>199293.15757754934</v>
      </c>
      <c r="F45">
        <v>267000</v>
      </c>
      <c r="G45">
        <v>251283.86032184181</v>
      </c>
      <c r="H45">
        <v>304000</v>
      </c>
      <c r="I45">
        <v>271540.6323862102</v>
      </c>
      <c r="J45">
        <v>7780</v>
      </c>
      <c r="K45">
        <v>6237.2000000000007</v>
      </c>
      <c r="L45">
        <v>7780</v>
      </c>
      <c r="M45">
        <v>3006.1387399999999</v>
      </c>
      <c r="N45">
        <v>6128.0661972806474</v>
      </c>
      <c r="O45">
        <v>40.000000000000391</v>
      </c>
      <c r="P45">
        <v>6371.3728361932317</v>
      </c>
      <c r="Q45">
        <v>2328</v>
      </c>
    </row>
    <row r="46" spans="1:17" x14ac:dyDescent="0.25">
      <c r="A46">
        <v>4300</v>
      </c>
      <c r="B46">
        <v>267000</v>
      </c>
      <c r="C46">
        <v>164337.63131462445</v>
      </c>
      <c r="D46">
        <v>304000</v>
      </c>
      <c r="E46">
        <v>197205.15757754934</v>
      </c>
      <c r="F46">
        <v>267000</v>
      </c>
      <c r="G46">
        <v>249543.86032184181</v>
      </c>
      <c r="H46">
        <v>304000</v>
      </c>
      <c r="I46">
        <v>269452.6323862102</v>
      </c>
      <c r="J46">
        <v>7780</v>
      </c>
      <c r="K46">
        <v>6241.6571428571433</v>
      </c>
      <c r="L46">
        <v>7780</v>
      </c>
      <c r="M46">
        <v>3010.5087100000001</v>
      </c>
      <c r="N46">
        <v>6138.3581374790983</v>
      </c>
      <c r="O46">
        <v>82.857142857143145</v>
      </c>
      <c r="P46">
        <v>6379.6854157312209</v>
      </c>
      <c r="Q46">
        <v>2383.4285714285711</v>
      </c>
    </row>
    <row r="47" spans="1:17" x14ac:dyDescent="0.25">
      <c r="A47">
        <v>4400</v>
      </c>
      <c r="B47">
        <v>267000</v>
      </c>
      <c r="C47">
        <v>162597.63131462445</v>
      </c>
      <c r="D47">
        <v>304000</v>
      </c>
      <c r="E47">
        <v>195117.15757754934</v>
      </c>
      <c r="F47">
        <v>267000</v>
      </c>
      <c r="G47">
        <v>247803.86032184181</v>
      </c>
      <c r="H47">
        <v>304000</v>
      </c>
      <c r="I47">
        <v>267364.6323862102</v>
      </c>
      <c r="J47">
        <v>7780</v>
      </c>
      <c r="K47">
        <v>6246.1142857142859</v>
      </c>
      <c r="L47">
        <v>7780</v>
      </c>
      <c r="M47">
        <v>3014.8786799999998</v>
      </c>
      <c r="N47">
        <v>6148.569186132725</v>
      </c>
      <c r="O47">
        <v>125.71428571428615</v>
      </c>
      <c r="P47">
        <v>6387.9270669868538</v>
      </c>
      <c r="Q47">
        <v>2438.8571428571427</v>
      </c>
    </row>
    <row r="48" spans="1:17" x14ac:dyDescent="0.25">
      <c r="A48">
        <v>4500</v>
      </c>
      <c r="B48">
        <v>267000</v>
      </c>
      <c r="C48">
        <v>160857.63131462445</v>
      </c>
      <c r="D48">
        <v>304000</v>
      </c>
      <c r="E48">
        <v>193029.15757754934</v>
      </c>
      <c r="F48">
        <v>267000</v>
      </c>
      <c r="G48">
        <v>246063.86032184181</v>
      </c>
      <c r="H48">
        <v>304000</v>
      </c>
      <c r="I48">
        <v>265276.6323862102</v>
      </c>
      <c r="J48">
        <v>7780</v>
      </c>
      <c r="K48">
        <v>6250.5714285714294</v>
      </c>
      <c r="L48">
        <v>7780</v>
      </c>
      <c r="M48">
        <v>3019.24865</v>
      </c>
      <c r="N48">
        <v>6158.6997920521326</v>
      </c>
      <c r="O48">
        <v>168.5714285714289</v>
      </c>
      <c r="P48">
        <v>6396.0981040112283</v>
      </c>
      <c r="Q48">
        <v>2494.2857142857142</v>
      </c>
    </row>
    <row r="49" spans="1:17" x14ac:dyDescent="0.25">
      <c r="A49">
        <v>4600</v>
      </c>
      <c r="B49">
        <v>267000</v>
      </c>
      <c r="C49">
        <v>159117.63131462445</v>
      </c>
      <c r="D49">
        <v>304000</v>
      </c>
      <c r="E49">
        <v>190941.15757754934</v>
      </c>
      <c r="F49">
        <v>267000</v>
      </c>
      <c r="G49">
        <v>244323.86032184181</v>
      </c>
      <c r="H49">
        <v>304000</v>
      </c>
      <c r="I49">
        <v>263188.6323862102</v>
      </c>
      <c r="J49">
        <v>7780</v>
      </c>
      <c r="K49">
        <v>6255.028571428571</v>
      </c>
      <c r="L49">
        <v>7780</v>
      </c>
      <c r="M49">
        <v>3023.6186199999997</v>
      </c>
      <c r="N49">
        <v>6168.7503982837552</v>
      </c>
      <c r="O49">
        <v>211.42857142857167</v>
      </c>
      <c r="P49">
        <v>6404.1988361974236</v>
      </c>
      <c r="Q49">
        <v>2549.7142857142858</v>
      </c>
    </row>
    <row r="50" spans="1:17" x14ac:dyDescent="0.25">
      <c r="A50">
        <v>4700</v>
      </c>
      <c r="B50">
        <v>267000</v>
      </c>
      <c r="C50">
        <v>157377.63131462445</v>
      </c>
      <c r="D50">
        <v>304000</v>
      </c>
      <c r="E50">
        <v>188853.15757754934</v>
      </c>
      <c r="F50">
        <v>267000</v>
      </c>
      <c r="G50">
        <v>242583.86032184181</v>
      </c>
      <c r="H50">
        <v>304000</v>
      </c>
      <c r="I50">
        <v>261100.6323862102</v>
      </c>
      <c r="J50">
        <v>7780</v>
      </c>
      <c r="K50">
        <v>6259.4857142857145</v>
      </c>
      <c r="L50">
        <v>7780</v>
      </c>
      <c r="M50">
        <v>3027.9885899999999</v>
      </c>
      <c r="N50">
        <v>6178.7214421688632</v>
      </c>
      <c r="O50">
        <v>254.28571428571442</v>
      </c>
      <c r="P50">
        <v>6412.2295683067832</v>
      </c>
      <c r="Q50">
        <v>2605.1428571428573</v>
      </c>
    </row>
    <row r="51" spans="1:17" x14ac:dyDescent="0.25">
      <c r="A51">
        <v>4800</v>
      </c>
      <c r="B51">
        <v>249000</v>
      </c>
      <c r="C51">
        <v>150708.40232845172</v>
      </c>
      <c r="D51">
        <v>295000</v>
      </c>
      <c r="E51">
        <v>180850.08279414207</v>
      </c>
      <c r="F51">
        <v>249000</v>
      </c>
      <c r="G51">
        <v>238791.05202694651</v>
      </c>
      <c r="H51">
        <v>295000</v>
      </c>
      <c r="I51">
        <v>256549.26243233579</v>
      </c>
      <c r="J51">
        <v>7330</v>
      </c>
      <c r="K51">
        <v>6263.9428571428571</v>
      </c>
      <c r="L51">
        <v>7330</v>
      </c>
      <c r="M51">
        <v>3032.3585600000001</v>
      </c>
      <c r="N51">
        <v>7067.9372560061147</v>
      </c>
      <c r="O51">
        <v>297.14285714285717</v>
      </c>
      <c r="P51">
        <v>7407.2192970112619</v>
      </c>
      <c r="Q51">
        <v>2660.5714285714284</v>
      </c>
    </row>
    <row r="52" spans="1:17" x14ac:dyDescent="0.25">
      <c r="A52">
        <v>4900</v>
      </c>
      <c r="B52">
        <v>249000</v>
      </c>
      <c r="C52">
        <v>148683.40232845172</v>
      </c>
      <c r="D52">
        <v>295000</v>
      </c>
      <c r="E52">
        <v>178420.08279414207</v>
      </c>
      <c r="F52">
        <v>249000</v>
      </c>
      <c r="G52">
        <v>236766.05202694651</v>
      </c>
      <c r="H52">
        <v>295000</v>
      </c>
      <c r="I52">
        <v>254119.26243233579</v>
      </c>
      <c r="J52">
        <v>7330</v>
      </c>
      <c r="K52">
        <v>6268.4</v>
      </c>
      <c r="L52">
        <v>7330</v>
      </c>
      <c r="M52">
        <v>3036.7285299999999</v>
      </c>
      <c r="N52">
        <v>7085.0710359905879</v>
      </c>
      <c r="O52">
        <v>339.99999999999994</v>
      </c>
      <c r="P52">
        <v>7421.3182481176491</v>
      </c>
      <c r="Q52">
        <v>2716</v>
      </c>
    </row>
    <row r="53" spans="1:17" x14ac:dyDescent="0.25">
      <c r="A53">
        <v>5000</v>
      </c>
      <c r="B53">
        <v>249000</v>
      </c>
      <c r="C53">
        <v>146658.40232845172</v>
      </c>
      <c r="D53">
        <v>295000</v>
      </c>
      <c r="E53">
        <v>175990.08279414207</v>
      </c>
      <c r="F53">
        <v>249000</v>
      </c>
      <c r="G53">
        <v>234741.05202694651</v>
      </c>
      <c r="H53">
        <v>295000</v>
      </c>
      <c r="I53">
        <v>251689.26243233579</v>
      </c>
      <c r="J53">
        <v>7330</v>
      </c>
      <c r="K53">
        <v>6272.857142857144</v>
      </c>
      <c r="L53">
        <v>7330</v>
      </c>
      <c r="M53">
        <v>3041.0985000000001</v>
      </c>
      <c r="N53">
        <v>7102.0597120661832</v>
      </c>
      <c r="O53">
        <v>382.85714285714317</v>
      </c>
      <c r="P53">
        <v>7435.2814606038946</v>
      </c>
      <c r="Q53">
        <v>2771.4285714285716</v>
      </c>
    </row>
    <row r="54" spans="1:17" x14ac:dyDescent="0.25">
      <c r="A54">
        <v>5100</v>
      </c>
      <c r="B54">
        <v>249000</v>
      </c>
      <c r="C54">
        <v>144633.40232845172</v>
      </c>
      <c r="D54">
        <v>295000</v>
      </c>
      <c r="E54">
        <v>173560.08279414207</v>
      </c>
      <c r="F54">
        <v>249000</v>
      </c>
      <c r="G54">
        <v>232716.05202694651</v>
      </c>
      <c r="H54">
        <v>295000</v>
      </c>
      <c r="I54">
        <v>249259.26243233579</v>
      </c>
      <c r="J54">
        <v>7330</v>
      </c>
      <c r="K54">
        <v>6277.3142857142866</v>
      </c>
      <c r="L54">
        <v>7330</v>
      </c>
      <c r="M54">
        <v>3045.4684699999998</v>
      </c>
      <c r="N54">
        <v>7118.9038459982658</v>
      </c>
      <c r="O54">
        <v>425.71428571428595</v>
      </c>
      <c r="P54">
        <v>7449.1092312220171</v>
      </c>
      <c r="Q54">
        <v>2826.8571428571431</v>
      </c>
    </row>
    <row r="55" spans="1:17" x14ac:dyDescent="0.25">
      <c r="A55">
        <v>5200</v>
      </c>
      <c r="B55">
        <v>249000</v>
      </c>
      <c r="C55">
        <v>142608.40232845172</v>
      </c>
      <c r="D55">
        <v>295000</v>
      </c>
      <c r="E55">
        <v>171130.08279414207</v>
      </c>
      <c r="F55">
        <v>249000</v>
      </c>
      <c r="G55">
        <v>230691.05202694651</v>
      </c>
      <c r="H55">
        <v>295000</v>
      </c>
      <c r="I55">
        <v>246829.26243233579</v>
      </c>
      <c r="J55">
        <v>7330</v>
      </c>
      <c r="K55">
        <v>6281.7714285714292</v>
      </c>
      <c r="L55">
        <v>7330</v>
      </c>
      <c r="M55">
        <v>3049.83844</v>
      </c>
      <c r="N55">
        <v>7135.6039864097647</v>
      </c>
      <c r="O55">
        <v>468.57142857142873</v>
      </c>
      <c r="P55">
        <v>7462.8018451262596</v>
      </c>
      <c r="Q55">
        <v>2882.2857142857147</v>
      </c>
    </row>
    <row r="56" spans="1:17" x14ac:dyDescent="0.25">
      <c r="A56">
        <v>5300</v>
      </c>
      <c r="B56">
        <v>249000</v>
      </c>
      <c r="C56">
        <v>140583.40232845172</v>
      </c>
      <c r="D56">
        <v>295000</v>
      </c>
      <c r="E56">
        <v>168700.08279414207</v>
      </c>
      <c r="F56">
        <v>249000</v>
      </c>
      <c r="G56">
        <v>228666.05202694651</v>
      </c>
      <c r="H56">
        <v>295000</v>
      </c>
      <c r="I56">
        <v>244399.26243233579</v>
      </c>
      <c r="J56">
        <v>7330</v>
      </c>
      <c r="K56">
        <v>6286.2285714285726</v>
      </c>
      <c r="L56">
        <v>7330</v>
      </c>
      <c r="M56">
        <v>3054.2084099999997</v>
      </c>
      <c r="N56">
        <v>7152.160668898111</v>
      </c>
      <c r="O56">
        <v>511.42857142857144</v>
      </c>
      <c r="P56">
        <v>7476.3595758974097</v>
      </c>
      <c r="Q56">
        <v>2937.7142857142853</v>
      </c>
    </row>
    <row r="57" spans="1:17" x14ac:dyDescent="0.25">
      <c r="A57">
        <v>5400</v>
      </c>
      <c r="B57">
        <v>249000</v>
      </c>
      <c r="C57">
        <v>138558.40232845172</v>
      </c>
      <c r="D57">
        <v>295000</v>
      </c>
      <c r="E57">
        <v>166270.08279414207</v>
      </c>
      <c r="F57">
        <v>249000</v>
      </c>
      <c r="G57">
        <v>226641.05202694651</v>
      </c>
      <c r="H57">
        <v>295000</v>
      </c>
      <c r="I57">
        <v>241969.26243233579</v>
      </c>
      <c r="J57">
        <v>7330</v>
      </c>
      <c r="K57">
        <v>6290.6857142857143</v>
      </c>
      <c r="L57">
        <v>7330</v>
      </c>
      <c r="M57">
        <v>3058.5783799999999</v>
      </c>
      <c r="N57">
        <v>7168.5744161473931</v>
      </c>
      <c r="O57">
        <v>554.28571428571468</v>
      </c>
      <c r="P57">
        <v>7489.7826855631592</v>
      </c>
      <c r="Q57">
        <v>2993.1428571428569</v>
      </c>
    </row>
    <row r="58" spans="1:17" x14ac:dyDescent="0.25">
      <c r="A58">
        <v>5500</v>
      </c>
      <c r="B58">
        <v>249000</v>
      </c>
      <c r="C58">
        <v>136533.40232845172</v>
      </c>
      <c r="D58">
        <v>295000</v>
      </c>
      <c r="E58">
        <v>163840.08279414207</v>
      </c>
      <c r="F58">
        <v>249000</v>
      </c>
      <c r="G58">
        <v>224616.05202694651</v>
      </c>
      <c r="H58">
        <v>295000</v>
      </c>
      <c r="I58">
        <v>239539.26243233579</v>
      </c>
      <c r="J58">
        <v>7330</v>
      </c>
      <c r="K58">
        <v>6295.1428571428578</v>
      </c>
      <c r="L58">
        <v>7330</v>
      </c>
      <c r="M58">
        <v>3062.9483500000001</v>
      </c>
      <c r="N58">
        <v>7184.8457380358095</v>
      </c>
      <c r="O58">
        <v>597.14285714285745</v>
      </c>
      <c r="P58">
        <v>7503.0714246144289</v>
      </c>
      <c r="Q58">
        <v>3048.5714285714284</v>
      </c>
    </row>
    <row r="59" spans="1:17" x14ac:dyDescent="0.25">
      <c r="A59">
        <v>5600</v>
      </c>
      <c r="B59">
        <v>249000</v>
      </c>
      <c r="C59">
        <v>134508.40232845172</v>
      </c>
      <c r="D59">
        <v>295000</v>
      </c>
      <c r="E59">
        <v>161410.08279414207</v>
      </c>
      <c r="F59">
        <v>249000</v>
      </c>
      <c r="G59">
        <v>222591.05202694651</v>
      </c>
      <c r="H59">
        <v>295000</v>
      </c>
      <c r="I59">
        <v>237109.26243233579</v>
      </c>
      <c r="J59">
        <v>7330</v>
      </c>
      <c r="K59">
        <v>6299.5999999999995</v>
      </c>
      <c r="L59">
        <v>7330</v>
      </c>
      <c r="M59">
        <v>3067.3183199999999</v>
      </c>
      <c r="N59">
        <v>7200.9751317384953</v>
      </c>
      <c r="O59">
        <v>640.00000000000068</v>
      </c>
      <c r="P59">
        <v>7516.226032017692</v>
      </c>
      <c r="Q59">
        <v>3104</v>
      </c>
    </row>
    <row r="60" spans="1:17" x14ac:dyDescent="0.25">
      <c r="A60">
        <v>5700</v>
      </c>
      <c r="B60">
        <v>249000</v>
      </c>
      <c r="C60">
        <v>132483.40232845172</v>
      </c>
      <c r="D60">
        <v>295000</v>
      </c>
      <c r="E60">
        <v>158980.08279414207</v>
      </c>
      <c r="F60">
        <v>249000</v>
      </c>
      <c r="G60">
        <v>220566.05202694651</v>
      </c>
      <c r="H60">
        <v>295000</v>
      </c>
      <c r="I60">
        <v>234679.26243233579</v>
      </c>
      <c r="J60">
        <v>7330</v>
      </c>
      <c r="K60">
        <v>6304.0571428571429</v>
      </c>
      <c r="L60">
        <v>7330</v>
      </c>
      <c r="M60">
        <v>3071.6882900000001</v>
      </c>
      <c r="N60">
        <v>7216.9630818257792</v>
      </c>
      <c r="O60">
        <v>682.85714285714346</v>
      </c>
      <c r="P60">
        <v>7529.2467352232907</v>
      </c>
      <c r="Q60">
        <v>3159.4285714285716</v>
      </c>
    </row>
    <row r="61" spans="1:17" x14ac:dyDescent="0.25">
      <c r="A61">
        <v>5800</v>
      </c>
      <c r="B61">
        <v>249000</v>
      </c>
      <c r="C61">
        <v>130458.40232845172</v>
      </c>
      <c r="D61">
        <v>295000</v>
      </c>
      <c r="E61">
        <v>156550.08279414207</v>
      </c>
      <c r="F61">
        <v>249000</v>
      </c>
      <c r="G61">
        <v>218541.05202694651</v>
      </c>
      <c r="H61">
        <v>295000</v>
      </c>
      <c r="I61">
        <v>232249.26243233579</v>
      </c>
      <c r="J61">
        <v>7330</v>
      </c>
      <c r="K61">
        <v>6308.5142857142846</v>
      </c>
      <c r="L61">
        <v>7330</v>
      </c>
      <c r="M61">
        <v>3076.0582599999998</v>
      </c>
      <c r="N61">
        <v>7232.8100603569437</v>
      </c>
      <c r="O61">
        <v>725.71428571428623</v>
      </c>
      <c r="P61">
        <v>7542.133750169728</v>
      </c>
      <c r="Q61">
        <v>3214.8571428571427</v>
      </c>
    </row>
    <row r="62" spans="1:17" x14ac:dyDescent="0.25">
      <c r="A62">
        <v>5900</v>
      </c>
      <c r="B62">
        <v>249000</v>
      </c>
      <c r="C62">
        <v>128433.40232845172</v>
      </c>
      <c r="D62">
        <v>295000</v>
      </c>
      <c r="E62">
        <v>154120.08279414207</v>
      </c>
      <c r="F62">
        <v>249000</v>
      </c>
      <c r="G62">
        <v>216516.05202694651</v>
      </c>
      <c r="H62">
        <v>295000</v>
      </c>
      <c r="I62">
        <v>229819.26243233579</v>
      </c>
      <c r="J62">
        <v>7330</v>
      </c>
      <c r="K62">
        <v>6312.9714285714299</v>
      </c>
      <c r="L62">
        <v>7330</v>
      </c>
      <c r="M62">
        <v>3080.42823</v>
      </c>
      <c r="N62">
        <v>7248.5165269694935</v>
      </c>
      <c r="O62">
        <v>768.57142857142901</v>
      </c>
      <c r="P62">
        <v>7554.8872812839109</v>
      </c>
      <c r="Q62">
        <v>3270.2857142857142</v>
      </c>
    </row>
    <row r="63" spans="1:17" x14ac:dyDescent="0.25">
      <c r="A63">
        <v>6000</v>
      </c>
      <c r="B63">
        <v>249000</v>
      </c>
      <c r="C63">
        <v>126408.40232845172</v>
      </c>
      <c r="D63">
        <v>295000</v>
      </c>
      <c r="E63">
        <v>151690.08279414207</v>
      </c>
      <c r="F63">
        <v>249000</v>
      </c>
      <c r="G63">
        <v>214491.05202694651</v>
      </c>
      <c r="H63">
        <v>295000</v>
      </c>
      <c r="I63">
        <v>227389.26243233579</v>
      </c>
      <c r="J63">
        <v>7330</v>
      </c>
      <c r="K63">
        <v>6317.4285714285725</v>
      </c>
      <c r="L63">
        <v>7330</v>
      </c>
      <c r="M63">
        <v>3084.7981999999997</v>
      </c>
      <c r="N63">
        <v>7264.0829289640824</v>
      </c>
      <c r="O63">
        <v>811.42857142857179</v>
      </c>
      <c r="P63">
        <v>7567.5075214773506</v>
      </c>
      <c r="Q63">
        <v>3325.7142857142858</v>
      </c>
    </row>
    <row r="64" spans="1:17" x14ac:dyDescent="0.25">
      <c r="A64">
        <v>6100</v>
      </c>
      <c r="B64">
        <v>249000</v>
      </c>
      <c r="C64">
        <v>124383.40232845172</v>
      </c>
      <c r="D64">
        <v>295000</v>
      </c>
      <c r="E64">
        <v>149260.08279414207</v>
      </c>
      <c r="F64">
        <v>249000</v>
      </c>
      <c r="G64">
        <v>212466.05202694651</v>
      </c>
      <c r="H64">
        <v>295000</v>
      </c>
      <c r="I64">
        <v>224959.26243233579</v>
      </c>
      <c r="J64">
        <v>7330</v>
      </c>
      <c r="K64">
        <v>6321.8857142857141</v>
      </c>
      <c r="L64">
        <v>7330</v>
      </c>
      <c r="M64">
        <v>3089.1681699999999</v>
      </c>
      <c r="N64">
        <v>7279.5097013850263</v>
      </c>
      <c r="O64">
        <v>854.28571428571456</v>
      </c>
      <c r="P64">
        <v>7579.994652138289</v>
      </c>
      <c r="Q64">
        <v>3381.1428571428573</v>
      </c>
    </row>
    <row r="65" spans="1:17" x14ac:dyDescent="0.25">
      <c r="A65">
        <v>6200</v>
      </c>
      <c r="B65">
        <v>249000</v>
      </c>
      <c r="C65">
        <v>122358.40232845172</v>
      </c>
      <c r="D65">
        <v>295000</v>
      </c>
      <c r="E65">
        <v>146830.08279414207</v>
      </c>
      <c r="F65">
        <v>249000</v>
      </c>
      <c r="G65">
        <v>210441.05202694651</v>
      </c>
      <c r="H65">
        <v>295000</v>
      </c>
      <c r="I65">
        <v>222529.26243233579</v>
      </c>
      <c r="J65">
        <v>7330</v>
      </c>
      <c r="K65">
        <v>6326.3428571428567</v>
      </c>
      <c r="L65">
        <v>7330</v>
      </c>
      <c r="M65">
        <v>3093.5381400000001</v>
      </c>
      <c r="N65">
        <v>7294.7972670965728</v>
      </c>
      <c r="O65">
        <v>897.14285714285779</v>
      </c>
      <c r="P65">
        <v>7592.3488431197075</v>
      </c>
      <c r="Q65">
        <v>3436.5714285714289</v>
      </c>
    </row>
    <row r="66" spans="1:17" x14ac:dyDescent="0.25">
      <c r="A66">
        <v>6300</v>
      </c>
      <c r="B66">
        <v>249000</v>
      </c>
      <c r="C66">
        <v>120333.40232845172</v>
      </c>
      <c r="D66">
        <v>295000</v>
      </c>
      <c r="E66">
        <v>144400.08279414207</v>
      </c>
      <c r="F66">
        <v>249000</v>
      </c>
      <c r="G66">
        <v>208416.05202694651</v>
      </c>
      <c r="H66">
        <v>295000</v>
      </c>
      <c r="I66">
        <v>220099.26243233579</v>
      </c>
      <c r="J66">
        <v>7330</v>
      </c>
      <c r="K66">
        <v>6330.8000000000011</v>
      </c>
      <c r="L66">
        <v>7330</v>
      </c>
      <c r="M66">
        <v>3097.9081099999999</v>
      </c>
      <c r="N66">
        <v>7309.9460368548444</v>
      </c>
      <c r="O66">
        <v>940.00000000000057</v>
      </c>
      <c r="P66">
        <v>7604.5702527232515</v>
      </c>
      <c r="Q66">
        <v>3492.0000000000005</v>
      </c>
    </row>
    <row r="67" spans="1:17" x14ac:dyDescent="0.25">
      <c r="A67">
        <v>6400</v>
      </c>
      <c r="B67">
        <v>249000</v>
      </c>
      <c r="C67">
        <v>118308.40232845172</v>
      </c>
      <c r="D67">
        <v>295000</v>
      </c>
      <c r="E67">
        <v>141970.08279414207</v>
      </c>
      <c r="F67">
        <v>249000</v>
      </c>
      <c r="G67">
        <v>206391.05202694651</v>
      </c>
      <c r="H67">
        <v>295000</v>
      </c>
      <c r="I67">
        <v>217669.26243233579</v>
      </c>
      <c r="J67">
        <v>7330</v>
      </c>
      <c r="K67">
        <v>6335.2571428571428</v>
      </c>
      <c r="L67">
        <v>7330</v>
      </c>
      <c r="M67">
        <v>3102.27808</v>
      </c>
      <c r="N67">
        <v>7324.9564093756171</v>
      </c>
      <c r="O67">
        <v>982.85714285714323</v>
      </c>
      <c r="P67">
        <v>7616.6590276789602</v>
      </c>
      <c r="Q67">
        <v>3547.4285714285711</v>
      </c>
    </row>
    <row r="68" spans="1:17" x14ac:dyDescent="0.25">
      <c r="A68">
        <v>6500</v>
      </c>
      <c r="B68">
        <v>249000</v>
      </c>
      <c r="C68">
        <v>116283.40232845172</v>
      </c>
      <c r="D68">
        <v>295000</v>
      </c>
      <c r="E68">
        <v>139540.08279414207</v>
      </c>
      <c r="F68">
        <v>249000</v>
      </c>
      <c r="G68">
        <v>204366.05202694651</v>
      </c>
      <c r="H68">
        <v>295000</v>
      </c>
      <c r="I68">
        <v>215239.26243233579</v>
      </c>
      <c r="J68">
        <v>7330</v>
      </c>
      <c r="K68">
        <v>6339.7142857142853</v>
      </c>
      <c r="L68">
        <v>7330</v>
      </c>
      <c r="M68">
        <v>3106.6480499999998</v>
      </c>
      <c r="N68">
        <v>7339.8287713978698</v>
      </c>
      <c r="O68">
        <v>1025.714285714286</v>
      </c>
      <c r="P68">
        <v>7628.6153031208451</v>
      </c>
      <c r="Q68">
        <v>3602.8571428571427</v>
      </c>
    </row>
    <row r="69" spans="1:17" x14ac:dyDescent="0.25">
      <c r="A69">
        <v>6600</v>
      </c>
      <c r="B69">
        <v>249000</v>
      </c>
      <c r="C69">
        <v>114258.40232845172</v>
      </c>
      <c r="D69">
        <v>295000</v>
      </c>
      <c r="E69">
        <v>137110.08279414207</v>
      </c>
      <c r="F69">
        <v>249000</v>
      </c>
      <c r="G69">
        <v>202341.05202694651</v>
      </c>
      <c r="H69">
        <v>295000</v>
      </c>
      <c r="I69">
        <v>212809.26243233579</v>
      </c>
      <c r="J69">
        <v>7330</v>
      </c>
      <c r="K69">
        <v>6344.1714285714279</v>
      </c>
      <c r="L69">
        <v>7330</v>
      </c>
      <c r="M69">
        <v>3111.01802</v>
      </c>
      <c r="N69">
        <v>7354.5634977431901</v>
      </c>
      <c r="O69">
        <v>1068.5714285714289</v>
      </c>
      <c r="P69">
        <v>7640.4392025582129</v>
      </c>
      <c r="Q69">
        <v>3658.2857142857142</v>
      </c>
    </row>
    <row r="70" spans="1:17" x14ac:dyDescent="0.25">
      <c r="A70">
        <v>6700</v>
      </c>
      <c r="B70">
        <v>249000</v>
      </c>
      <c r="C70">
        <v>112233.40232845172</v>
      </c>
      <c r="D70">
        <v>295000</v>
      </c>
      <c r="E70">
        <v>134680.08279414207</v>
      </c>
      <c r="F70">
        <v>249000</v>
      </c>
      <c r="G70">
        <v>200316.05202694651</v>
      </c>
      <c r="H70">
        <v>295000</v>
      </c>
      <c r="I70">
        <v>210379.26243233579</v>
      </c>
      <c r="J70">
        <v>7330</v>
      </c>
      <c r="K70">
        <v>6348.6285714285723</v>
      </c>
      <c r="L70">
        <v>7330</v>
      </c>
      <c r="M70">
        <v>3115.3879899999997</v>
      </c>
      <c r="N70">
        <v>7369.1609513710646</v>
      </c>
      <c r="O70">
        <v>1111.4285714285716</v>
      </c>
      <c r="P70">
        <v>7652.130837842753</v>
      </c>
      <c r="Q70">
        <v>3713.7142857142858</v>
      </c>
    </row>
    <row r="71" spans="1:17" x14ac:dyDescent="0.25">
      <c r="A71">
        <v>6800</v>
      </c>
      <c r="B71">
        <v>249000</v>
      </c>
      <c r="C71">
        <v>110208.40232845172</v>
      </c>
      <c r="D71">
        <v>295000</v>
      </c>
      <c r="E71">
        <v>132250.08279414207</v>
      </c>
      <c r="F71">
        <v>249000</v>
      </c>
      <c r="G71">
        <v>198291.05202694651</v>
      </c>
      <c r="H71">
        <v>295000</v>
      </c>
      <c r="I71">
        <v>207949.26243233579</v>
      </c>
      <c r="J71">
        <v>7330</v>
      </c>
      <c r="K71">
        <v>6353.0857142857158</v>
      </c>
      <c r="L71">
        <v>7330</v>
      </c>
      <c r="M71">
        <v>3119.7579599999999</v>
      </c>
      <c r="N71">
        <v>7383.6214834300499</v>
      </c>
      <c r="O71">
        <v>1154.2857142857149</v>
      </c>
      <c r="P71">
        <v>7663.690309131307</v>
      </c>
      <c r="Q71">
        <v>3769.1428571428569</v>
      </c>
    </row>
    <row r="72" spans="1:17" x14ac:dyDescent="0.25">
      <c r="A72">
        <v>6900</v>
      </c>
      <c r="B72">
        <v>249000</v>
      </c>
      <c r="C72">
        <v>108183.40232845172</v>
      </c>
      <c r="D72">
        <v>295000</v>
      </c>
      <c r="E72">
        <v>129820.08279414207</v>
      </c>
      <c r="F72">
        <v>249000</v>
      </c>
      <c r="G72">
        <v>196266.05202694651</v>
      </c>
      <c r="H72">
        <v>295000</v>
      </c>
      <c r="I72">
        <v>205519.26243233579</v>
      </c>
      <c r="J72">
        <v>7330</v>
      </c>
      <c r="K72">
        <v>6357.5428571428574</v>
      </c>
      <c r="L72">
        <v>7330</v>
      </c>
      <c r="M72">
        <v>3124.1279300000001</v>
      </c>
      <c r="N72">
        <v>7397.9454333048807</v>
      </c>
      <c r="O72">
        <v>1197.1428571428571</v>
      </c>
      <c r="P72">
        <v>7675.1177048442823</v>
      </c>
      <c r="Q72">
        <v>3824.5714285714284</v>
      </c>
    </row>
    <row r="73" spans="1:17" x14ac:dyDescent="0.25">
      <c r="A73">
        <v>7000</v>
      </c>
      <c r="B73">
        <v>249000</v>
      </c>
      <c r="C73">
        <v>106158.40232845172</v>
      </c>
      <c r="D73">
        <v>295000</v>
      </c>
      <c r="E73">
        <v>127390.08279414207</v>
      </c>
      <c r="F73">
        <v>249000</v>
      </c>
      <c r="G73">
        <v>194241.05202694651</v>
      </c>
      <c r="H73">
        <v>295000</v>
      </c>
      <c r="I73">
        <v>203089.26243233579</v>
      </c>
      <c r="J73">
        <v>7330</v>
      </c>
      <c r="K73">
        <v>6362</v>
      </c>
      <c r="L73">
        <v>7330</v>
      </c>
      <c r="M73">
        <v>3128.4978999999998</v>
      </c>
      <c r="N73">
        <v>7412.1331286595205</v>
      </c>
      <c r="O73">
        <v>1240.0000000000002</v>
      </c>
      <c r="P73">
        <v>7686.4131016196525</v>
      </c>
      <c r="Q73">
        <v>3880</v>
      </c>
    </row>
    <row r="74" spans="1:17" x14ac:dyDescent="0.25">
      <c r="A74">
        <v>7100</v>
      </c>
      <c r="B74">
        <v>249000</v>
      </c>
      <c r="C74">
        <v>104133.40232845172</v>
      </c>
      <c r="D74">
        <v>295000</v>
      </c>
      <c r="E74">
        <v>124960.08279414207</v>
      </c>
      <c r="F74">
        <v>249000</v>
      </c>
      <c r="G74">
        <v>192216.05202694651</v>
      </c>
      <c r="H74">
        <v>295000</v>
      </c>
      <c r="I74">
        <v>200659.26243233579</v>
      </c>
      <c r="J74">
        <v>7330</v>
      </c>
      <c r="K74">
        <v>6366.4571428571426</v>
      </c>
      <c r="L74">
        <v>7330</v>
      </c>
      <c r="M74">
        <v>3132.86787</v>
      </c>
      <c r="N74">
        <v>7426.1848854761593</v>
      </c>
      <c r="O74">
        <v>1282.8571428571427</v>
      </c>
      <c r="P74">
        <v>7697.5765642625192</v>
      </c>
      <c r="Q74">
        <v>3935.4285714285716</v>
      </c>
    </row>
    <row r="75" spans="1:17" x14ac:dyDescent="0.25">
      <c r="A75">
        <v>7200</v>
      </c>
      <c r="B75">
        <v>249000</v>
      </c>
      <c r="C75">
        <v>102108.40232845172</v>
      </c>
      <c r="D75">
        <v>295000</v>
      </c>
      <c r="E75">
        <v>122530.08279414207</v>
      </c>
      <c r="F75">
        <v>249000</v>
      </c>
      <c r="G75">
        <v>190191.05202694651</v>
      </c>
      <c r="H75">
        <v>295000</v>
      </c>
      <c r="I75">
        <v>198229.26243233579</v>
      </c>
      <c r="J75">
        <v>7330</v>
      </c>
      <c r="K75">
        <v>6370.9142857142861</v>
      </c>
      <c r="L75">
        <v>7330</v>
      </c>
      <c r="M75">
        <v>3137.2378399999998</v>
      </c>
      <c r="N75">
        <v>7440.101008090196</v>
      </c>
      <c r="O75">
        <v>1325.7142857142858</v>
      </c>
      <c r="P75">
        <v>7708.6081456901302</v>
      </c>
      <c r="Q75">
        <v>3990.8571428571431</v>
      </c>
    </row>
    <row r="76" spans="1:17" x14ac:dyDescent="0.25">
      <c r="A76">
        <v>7300</v>
      </c>
      <c r="B76">
        <v>249000</v>
      </c>
      <c r="C76">
        <v>100083.40232845172</v>
      </c>
      <c r="D76">
        <v>295000</v>
      </c>
      <c r="E76">
        <v>120100.08279414207</v>
      </c>
      <c r="F76">
        <v>249000</v>
      </c>
      <c r="G76">
        <v>188166.05202694651</v>
      </c>
      <c r="H76">
        <v>295000</v>
      </c>
      <c r="I76">
        <v>195799.26243233579</v>
      </c>
      <c r="J76">
        <v>7330</v>
      </c>
      <c r="K76">
        <v>6375.3714285714286</v>
      </c>
      <c r="L76">
        <v>7330</v>
      </c>
      <c r="M76">
        <v>3141.60781</v>
      </c>
      <c r="N76">
        <v>7453.8817892212037</v>
      </c>
      <c r="O76">
        <v>1368.5714285714291</v>
      </c>
      <c r="P76">
        <v>7719.5078868723167</v>
      </c>
      <c r="Q76">
        <v>4046.2857142857147</v>
      </c>
    </row>
    <row r="77" spans="1:17" x14ac:dyDescent="0.25">
      <c r="A77">
        <v>7400</v>
      </c>
      <c r="B77">
        <v>249000</v>
      </c>
      <c r="C77">
        <v>98058.402328451717</v>
      </c>
      <c r="D77">
        <v>295000</v>
      </c>
      <c r="E77">
        <v>117670.08279414207</v>
      </c>
      <c r="F77">
        <v>249000</v>
      </c>
      <c r="G77">
        <v>186141.05202694651</v>
      </c>
      <c r="H77">
        <v>295000</v>
      </c>
      <c r="I77">
        <v>193369.26243233579</v>
      </c>
      <c r="J77">
        <v>7330</v>
      </c>
      <c r="K77">
        <v>6379.8285714285712</v>
      </c>
      <c r="L77">
        <v>7330</v>
      </c>
      <c r="M77">
        <v>3145.9777799999997</v>
      </c>
      <c r="N77">
        <v>7467.527509999878</v>
      </c>
      <c r="O77">
        <v>1411.4285714285713</v>
      </c>
      <c r="P77">
        <v>7730.2758167673028</v>
      </c>
      <c r="Q77">
        <v>4101.7142857142862</v>
      </c>
    </row>
    <row r="78" spans="1:17" x14ac:dyDescent="0.25">
      <c r="A78">
        <v>7500</v>
      </c>
      <c r="B78">
        <v>249000</v>
      </c>
      <c r="C78">
        <v>96033.402328451717</v>
      </c>
      <c r="D78">
        <v>295000</v>
      </c>
      <c r="E78">
        <v>115240.08279414207</v>
      </c>
      <c r="F78">
        <v>249000</v>
      </c>
      <c r="G78">
        <v>184116.05202694651</v>
      </c>
      <c r="H78">
        <v>295000</v>
      </c>
      <c r="I78">
        <v>190939.26243233579</v>
      </c>
      <c r="J78">
        <v>7330</v>
      </c>
      <c r="K78">
        <v>6384.2857142857129</v>
      </c>
      <c r="L78">
        <v>7330</v>
      </c>
      <c r="M78">
        <v>3150.3477499999999</v>
      </c>
      <c r="N78">
        <v>7481.0384399910008</v>
      </c>
      <c r="O78">
        <v>1454.2857142857151</v>
      </c>
      <c r="P78">
        <v>7740.9119522527517</v>
      </c>
      <c r="Q78">
        <v>4157.1428571428578</v>
      </c>
    </row>
    <row r="79" spans="1:17" x14ac:dyDescent="0.25">
      <c r="A79">
        <v>7600</v>
      </c>
      <c r="B79">
        <v>249000</v>
      </c>
      <c r="C79">
        <v>94008.402328451717</v>
      </c>
      <c r="D79">
        <v>295000</v>
      </c>
      <c r="E79">
        <v>112810.08279414207</v>
      </c>
      <c r="F79">
        <v>249000</v>
      </c>
      <c r="G79">
        <v>182091.05202694651</v>
      </c>
      <c r="H79">
        <v>295000</v>
      </c>
      <c r="I79">
        <v>188509.26243233579</v>
      </c>
      <c r="J79">
        <v>7330</v>
      </c>
      <c r="K79">
        <v>6388.7428571428582</v>
      </c>
      <c r="L79">
        <v>7330</v>
      </c>
      <c r="M79">
        <v>3154.7177200000001</v>
      </c>
      <c r="N79">
        <v>7494.4148372123655</v>
      </c>
      <c r="O79">
        <v>1497.1428571428573</v>
      </c>
      <c r="P79">
        <v>7751.4162980520532</v>
      </c>
      <c r="Q79">
        <v>4212.5714285714284</v>
      </c>
    </row>
    <row r="80" spans="1:17" x14ac:dyDescent="0.25">
      <c r="A80">
        <v>7700</v>
      </c>
      <c r="B80">
        <v>249000</v>
      </c>
      <c r="C80">
        <v>91983.402328451717</v>
      </c>
      <c r="D80">
        <v>295000</v>
      </c>
      <c r="E80">
        <v>110380.08279414207</v>
      </c>
      <c r="F80">
        <v>249000</v>
      </c>
      <c r="G80">
        <v>180066.05202694651</v>
      </c>
      <c r="H80">
        <v>295000</v>
      </c>
      <c r="I80">
        <v>186079.26243233579</v>
      </c>
      <c r="J80">
        <v>7330</v>
      </c>
      <c r="K80">
        <v>6393.2000000000007</v>
      </c>
      <c r="L80">
        <v>7330</v>
      </c>
      <c r="M80">
        <v>3159.0876899999998</v>
      </c>
      <c r="N80">
        <v>7507.6569481497418</v>
      </c>
      <c r="O80">
        <v>1540.0000000000007</v>
      </c>
      <c r="P80">
        <v>7761.7888466556942</v>
      </c>
      <c r="Q80">
        <v>4268</v>
      </c>
    </row>
    <row r="81" spans="1:17" x14ac:dyDescent="0.25">
      <c r="A81">
        <v>7800</v>
      </c>
      <c r="B81">
        <v>249000</v>
      </c>
      <c r="C81">
        <v>89958.402328451717</v>
      </c>
      <c r="D81">
        <v>295000</v>
      </c>
      <c r="E81">
        <v>107950.08279414207</v>
      </c>
      <c r="F81">
        <v>249000</v>
      </c>
      <c r="G81">
        <v>178041.05202694651</v>
      </c>
      <c r="H81">
        <v>295000</v>
      </c>
      <c r="I81">
        <v>183649.26243233579</v>
      </c>
      <c r="J81">
        <v>7330</v>
      </c>
      <c r="K81">
        <v>6397.6571428571424</v>
      </c>
      <c r="L81">
        <v>7330</v>
      </c>
      <c r="M81">
        <v>3163.45766</v>
      </c>
      <c r="N81">
        <v>7520.7650077677936</v>
      </c>
      <c r="O81">
        <v>1582.8571428571438</v>
      </c>
      <c r="P81">
        <v>7772.0295782376888</v>
      </c>
      <c r="Q81">
        <v>4323.4285714285716</v>
      </c>
    </row>
    <row r="82" spans="1:17" x14ac:dyDescent="0.25">
      <c r="A82">
        <v>7900</v>
      </c>
      <c r="B82">
        <v>249000</v>
      </c>
      <c r="C82">
        <v>87933.402328451717</v>
      </c>
      <c r="D82">
        <v>295000</v>
      </c>
      <c r="E82">
        <v>105520.08279414207</v>
      </c>
      <c r="F82">
        <v>249000</v>
      </c>
      <c r="G82">
        <v>176016.05202694651</v>
      </c>
      <c r="H82">
        <v>295000</v>
      </c>
      <c r="I82">
        <v>181219.26243233579</v>
      </c>
      <c r="J82">
        <v>7330</v>
      </c>
      <c r="K82">
        <v>6402.1142857142859</v>
      </c>
      <c r="L82">
        <v>7330</v>
      </c>
      <c r="M82">
        <v>3167.8276299999998</v>
      </c>
      <c r="N82">
        <v>7533.7392395170064</v>
      </c>
      <c r="O82">
        <v>1625.7142857142862</v>
      </c>
      <c r="P82">
        <v>7782.1384605669464</v>
      </c>
      <c r="Q82">
        <v>4378.8571428571431</v>
      </c>
    </row>
    <row r="83" spans="1:17" x14ac:dyDescent="0.25">
      <c r="A83">
        <v>8000</v>
      </c>
      <c r="B83">
        <v>249000</v>
      </c>
      <c r="C83">
        <v>85908.402328451717</v>
      </c>
      <c r="D83">
        <v>295000</v>
      </c>
      <c r="E83">
        <v>103090.08279414207</v>
      </c>
      <c r="F83">
        <v>249000</v>
      </c>
      <c r="G83">
        <v>173991.05202694651</v>
      </c>
      <c r="H83">
        <v>295000</v>
      </c>
      <c r="I83">
        <v>178789.26243233579</v>
      </c>
      <c r="J83">
        <v>7330</v>
      </c>
      <c r="K83">
        <v>6406.5714285714294</v>
      </c>
      <c r="L83">
        <v>7330</v>
      </c>
      <c r="M83">
        <v>3172.1976</v>
      </c>
      <c r="N83">
        <v>7546.5798553365594</v>
      </c>
      <c r="O83">
        <v>1668.5714285714294</v>
      </c>
      <c r="P83">
        <v>7792.1154489134715</v>
      </c>
      <c r="Q83">
        <v>4434.2857142857147</v>
      </c>
    </row>
    <row r="84" spans="1:17" x14ac:dyDescent="0.25">
      <c r="A84">
        <v>8100</v>
      </c>
      <c r="B84">
        <v>249000</v>
      </c>
      <c r="C84">
        <v>83883.402328451717</v>
      </c>
      <c r="D84">
        <v>295000</v>
      </c>
      <c r="E84">
        <v>100660.08279414207</v>
      </c>
      <c r="F84">
        <v>249000</v>
      </c>
      <c r="G84">
        <v>171966.05202694651</v>
      </c>
      <c r="H84">
        <v>295000</v>
      </c>
      <c r="I84">
        <v>176359.26243233579</v>
      </c>
      <c r="J84">
        <v>7330</v>
      </c>
      <c r="K84">
        <v>6411.0285714285719</v>
      </c>
      <c r="L84">
        <v>7330</v>
      </c>
      <c r="M84">
        <v>3176.5675699999997</v>
      </c>
      <c r="N84">
        <v>7559.2870556531852</v>
      </c>
      <c r="O84">
        <v>1711.4285714285716</v>
      </c>
      <c r="P84">
        <v>7801.960485949332</v>
      </c>
      <c r="Q84">
        <v>4489.7142857142853</v>
      </c>
    </row>
    <row r="85" spans="1:17" x14ac:dyDescent="0.25">
      <c r="A85">
        <v>8200</v>
      </c>
      <c r="B85">
        <v>249000</v>
      </c>
      <c r="C85">
        <v>81858.402328451717</v>
      </c>
      <c r="D85">
        <v>295000</v>
      </c>
      <c r="E85">
        <v>98230.082794142072</v>
      </c>
      <c r="F85">
        <v>249000</v>
      </c>
      <c r="G85">
        <v>169941.05202694651</v>
      </c>
      <c r="H85">
        <v>295000</v>
      </c>
      <c r="I85">
        <v>173929.26243233579</v>
      </c>
      <c r="J85">
        <v>7330</v>
      </c>
      <c r="K85">
        <v>6415.4857142857145</v>
      </c>
      <c r="L85">
        <v>7330</v>
      </c>
      <c r="M85">
        <v>3180.9375399999999</v>
      </c>
      <c r="N85">
        <v>7571.8610293759448</v>
      </c>
      <c r="O85">
        <v>1754.2857142857149</v>
      </c>
      <c r="P85">
        <v>7811.6735016442544</v>
      </c>
      <c r="Q85">
        <v>4545.1428571428569</v>
      </c>
    </row>
    <row r="86" spans="1:17" x14ac:dyDescent="0.25">
      <c r="A86">
        <v>8300</v>
      </c>
      <c r="B86">
        <v>249000</v>
      </c>
      <c r="C86">
        <v>79833.402328451717</v>
      </c>
      <c r="D86">
        <v>295000</v>
      </c>
      <c r="E86">
        <v>95800.082794142072</v>
      </c>
      <c r="F86">
        <v>249000</v>
      </c>
      <c r="G86">
        <v>167916.05202694651</v>
      </c>
      <c r="H86">
        <v>295000</v>
      </c>
      <c r="I86">
        <v>171499.26243233579</v>
      </c>
      <c r="J86">
        <v>7330</v>
      </c>
      <c r="K86">
        <v>6419.9428571428562</v>
      </c>
      <c r="L86">
        <v>7330</v>
      </c>
      <c r="M86">
        <v>3185.3075100000001</v>
      </c>
      <c r="N86">
        <v>7584.3019538869285</v>
      </c>
      <c r="O86">
        <v>1797.1428571428571</v>
      </c>
      <c r="P86">
        <v>7821.2544131557579</v>
      </c>
      <c r="Q86">
        <v>4600.5714285714284</v>
      </c>
    </row>
    <row r="87" spans="1:17" x14ac:dyDescent="0.25">
      <c r="A87">
        <v>8400</v>
      </c>
      <c r="B87">
        <v>249000</v>
      </c>
      <c r="C87">
        <v>77808.402328451717</v>
      </c>
      <c r="D87">
        <v>295000</v>
      </c>
      <c r="E87">
        <v>93370.082794142072</v>
      </c>
      <c r="F87">
        <v>249000</v>
      </c>
      <c r="G87">
        <v>165891.05202694651</v>
      </c>
      <c r="H87">
        <v>295000</v>
      </c>
      <c r="I87">
        <v>169069.26243233579</v>
      </c>
      <c r="J87">
        <v>7330</v>
      </c>
      <c r="K87">
        <v>6424.4000000000015</v>
      </c>
      <c r="L87">
        <v>7330</v>
      </c>
      <c r="M87">
        <v>3189.6774799999998</v>
      </c>
      <c r="N87">
        <v>7596.6099950278531</v>
      </c>
      <c r="O87">
        <v>1840.0000000000005</v>
      </c>
      <c r="P87">
        <v>7830.7031247136847</v>
      </c>
      <c r="Q87">
        <v>4656</v>
      </c>
    </row>
    <row r="88" spans="1:17" x14ac:dyDescent="0.25">
      <c r="A88">
        <v>8500</v>
      </c>
      <c r="B88">
        <v>249000</v>
      </c>
      <c r="C88">
        <v>75783.402328451717</v>
      </c>
      <c r="D88">
        <v>295000</v>
      </c>
      <c r="E88">
        <v>90940.082794142072</v>
      </c>
      <c r="F88">
        <v>249000</v>
      </c>
      <c r="G88">
        <v>163866.05202694651</v>
      </c>
      <c r="H88">
        <v>295000</v>
      </c>
      <c r="I88">
        <v>166639.26243233579</v>
      </c>
      <c r="J88">
        <v>7330</v>
      </c>
      <c r="K88">
        <v>6428.857142857144</v>
      </c>
      <c r="L88">
        <v>7330</v>
      </c>
      <c r="M88">
        <v>3194.04745</v>
      </c>
      <c r="N88">
        <v>7608.7853070825286</v>
      </c>
      <c r="O88">
        <v>1882.8571428571436</v>
      </c>
      <c r="P88">
        <v>7840.0195274990401</v>
      </c>
      <c r="Q88">
        <v>4711.4285714285716</v>
      </c>
    </row>
    <row r="89" spans="1:17" x14ac:dyDescent="0.25">
      <c r="A89">
        <v>8600</v>
      </c>
      <c r="B89">
        <v>249000</v>
      </c>
      <c r="C89">
        <v>73758.402328451717</v>
      </c>
      <c r="D89">
        <v>295000</v>
      </c>
      <c r="E89">
        <v>88510.082794142072</v>
      </c>
      <c r="F89">
        <v>249000</v>
      </c>
      <c r="G89">
        <v>161841.05202694651</v>
      </c>
      <c r="H89">
        <v>295000</v>
      </c>
      <c r="I89">
        <v>164209.26243233579</v>
      </c>
      <c r="J89">
        <v>7330</v>
      </c>
      <c r="K89">
        <v>6433.3142857142857</v>
      </c>
      <c r="L89">
        <v>7330</v>
      </c>
      <c r="M89">
        <v>3198.4174199999998</v>
      </c>
      <c r="N89">
        <v>7620.8280327551438</v>
      </c>
      <c r="O89">
        <v>1925.714285714286</v>
      </c>
      <c r="P89">
        <v>7849.203499516977</v>
      </c>
      <c r="Q89">
        <v>4766.8571428571422</v>
      </c>
    </row>
    <row r="90" spans="1:17" x14ac:dyDescent="0.25">
      <c r="A90">
        <v>8700</v>
      </c>
      <c r="B90">
        <v>249000</v>
      </c>
      <c r="C90">
        <v>71733.402328451717</v>
      </c>
      <c r="D90">
        <v>295000</v>
      </c>
      <c r="E90">
        <v>86080.082794142072</v>
      </c>
      <c r="F90">
        <v>249000</v>
      </c>
      <c r="G90">
        <v>159816.05202694651</v>
      </c>
      <c r="H90">
        <v>295000</v>
      </c>
      <c r="I90">
        <v>161779.26243233579</v>
      </c>
      <c r="J90">
        <v>7330</v>
      </c>
      <c r="K90">
        <v>6437.7714285714283</v>
      </c>
      <c r="L90">
        <v>7330</v>
      </c>
      <c r="M90">
        <v>3202.78739</v>
      </c>
      <c r="N90">
        <v>7632.7383031443833</v>
      </c>
      <c r="O90">
        <v>1968.5714285714291</v>
      </c>
      <c r="P90">
        <v>7858.2549054637984</v>
      </c>
      <c r="Q90">
        <v>4822.2857142857138</v>
      </c>
    </row>
    <row r="91" spans="1:17" x14ac:dyDescent="0.25">
      <c r="A91">
        <v>8800</v>
      </c>
      <c r="B91">
        <v>249000</v>
      </c>
      <c r="C91">
        <v>69708.402328451717</v>
      </c>
      <c r="D91">
        <v>295000</v>
      </c>
      <c r="E91">
        <v>83650.082794142072</v>
      </c>
      <c r="F91">
        <v>249000</v>
      </c>
      <c r="G91">
        <v>157791.05202694651</v>
      </c>
      <c r="H91">
        <v>295000</v>
      </c>
      <c r="I91">
        <v>159349.26243233579</v>
      </c>
      <c r="J91">
        <v>7330</v>
      </c>
      <c r="K91">
        <v>6442.2285714285708</v>
      </c>
      <c r="L91">
        <v>7330</v>
      </c>
      <c r="M91">
        <v>3207.1573599999997</v>
      </c>
      <c r="N91">
        <v>7644.5162377132792</v>
      </c>
      <c r="O91">
        <v>2011.4285714285716</v>
      </c>
      <c r="P91">
        <v>7867.173596587867</v>
      </c>
      <c r="Q91">
        <v>4877.7142857142853</v>
      </c>
    </row>
    <row r="92" spans="1:17" x14ac:dyDescent="0.25">
      <c r="A92">
        <v>8900</v>
      </c>
      <c r="B92">
        <v>249000</v>
      </c>
      <c r="C92">
        <v>67683.402328451717</v>
      </c>
      <c r="D92">
        <v>295000</v>
      </c>
      <c r="E92">
        <v>81220.082794142072</v>
      </c>
      <c r="F92">
        <v>249000</v>
      </c>
      <c r="G92">
        <v>155766.05202694651</v>
      </c>
      <c r="H92">
        <v>295000</v>
      </c>
      <c r="I92">
        <v>156919.26243233579</v>
      </c>
      <c r="J92">
        <v>7330</v>
      </c>
      <c r="K92">
        <v>6446.6857142857143</v>
      </c>
      <c r="L92">
        <v>7330</v>
      </c>
      <c r="M92">
        <v>3211.5273299999999</v>
      </c>
      <c r="N92">
        <v>7656.1619442548017</v>
      </c>
      <c r="O92">
        <v>2057.7142857142853</v>
      </c>
      <c r="P92">
        <v>7875.9594105442038</v>
      </c>
      <c r="Q92">
        <v>4933.1428571428569</v>
      </c>
    </row>
    <row r="93" spans="1:17" x14ac:dyDescent="0.25">
      <c r="A93">
        <v>9000</v>
      </c>
      <c r="B93">
        <v>249000</v>
      </c>
      <c r="C93">
        <v>65658.402328451717</v>
      </c>
      <c r="D93">
        <v>295000</v>
      </c>
      <c r="E93">
        <v>78790.082794142072</v>
      </c>
      <c r="F93">
        <v>249000</v>
      </c>
      <c r="G93">
        <v>153741.05202694651</v>
      </c>
      <c r="H93">
        <v>295000</v>
      </c>
      <c r="I93">
        <v>154489.26243233579</v>
      </c>
      <c r="J93">
        <v>7330</v>
      </c>
      <c r="K93">
        <v>6451.1428571428578</v>
      </c>
      <c r="L93">
        <v>7330</v>
      </c>
      <c r="M93">
        <v>3215.8973000000001</v>
      </c>
      <c r="N93">
        <v>7667.6755188531115</v>
      </c>
      <c r="O93">
        <v>2104.0000000000005</v>
      </c>
      <c r="P93">
        <v>7884.612171242703</v>
      </c>
      <c r="Q93">
        <v>4988.5714285714284</v>
      </c>
    </row>
    <row r="94" spans="1:17" x14ac:dyDescent="0.25">
      <c r="A94">
        <v>9100</v>
      </c>
      <c r="B94">
        <v>249000</v>
      </c>
      <c r="C94">
        <v>63633.402328451724</v>
      </c>
      <c r="D94">
        <v>295000</v>
      </c>
      <c r="E94">
        <v>76360.082794142072</v>
      </c>
      <c r="F94">
        <v>249000</v>
      </c>
      <c r="G94">
        <v>151716.05202694651</v>
      </c>
      <c r="H94">
        <v>295000</v>
      </c>
      <c r="I94">
        <v>152059.26243233579</v>
      </c>
      <c r="J94">
        <v>7330</v>
      </c>
      <c r="K94">
        <v>6455.5999999999995</v>
      </c>
      <c r="L94">
        <v>7330</v>
      </c>
      <c r="M94">
        <v>3220.2672699999998</v>
      </c>
      <c r="N94">
        <v>7679.0570458404654</v>
      </c>
      <c r="O94">
        <v>2150.2857142857151</v>
      </c>
      <c r="P94">
        <v>7893.1316886897221</v>
      </c>
      <c r="Q94">
        <v>5058.8571428571431</v>
      </c>
    </row>
    <row r="95" spans="1:17" x14ac:dyDescent="0.25">
      <c r="A95">
        <v>9200</v>
      </c>
      <c r="B95">
        <v>249000</v>
      </c>
      <c r="C95">
        <v>61608.402328451724</v>
      </c>
      <c r="D95">
        <v>295000</v>
      </c>
      <c r="E95">
        <v>73930.082794142072</v>
      </c>
      <c r="F95">
        <v>249000</v>
      </c>
      <c r="G95">
        <v>149691.05202694651</v>
      </c>
      <c r="H95">
        <v>295000</v>
      </c>
      <c r="I95">
        <v>149629.26243233579</v>
      </c>
      <c r="J95">
        <v>7330</v>
      </c>
      <c r="K95">
        <v>6460.057142857142</v>
      </c>
      <c r="L95">
        <v>7330</v>
      </c>
      <c r="M95">
        <v>3224.63724</v>
      </c>
      <c r="N95">
        <v>7690.3065977496717</v>
      </c>
      <c r="O95">
        <v>2196.5714285714284</v>
      </c>
      <c r="P95">
        <v>7901.5177588229353</v>
      </c>
      <c r="Q95">
        <v>5129.1428571428569</v>
      </c>
    </row>
    <row r="96" spans="1:17" x14ac:dyDescent="0.25">
      <c r="A96">
        <v>9300</v>
      </c>
      <c r="B96">
        <v>249000</v>
      </c>
      <c r="C96">
        <v>59583.402328451724</v>
      </c>
      <c r="D96">
        <v>295000</v>
      </c>
      <c r="E96">
        <v>71500.082794142072</v>
      </c>
      <c r="F96">
        <v>249000</v>
      </c>
      <c r="G96">
        <v>147666.05202694651</v>
      </c>
      <c r="H96">
        <v>295000</v>
      </c>
      <c r="I96">
        <v>147199.26243233579</v>
      </c>
      <c r="J96">
        <v>7330</v>
      </c>
      <c r="K96">
        <v>6464.5142857142873</v>
      </c>
      <c r="L96">
        <v>7330</v>
      </c>
      <c r="M96">
        <v>3229.0072099999998</v>
      </c>
      <c r="N96">
        <v>7701.4242352620704</v>
      </c>
      <c r="O96">
        <v>2242.8571428571431</v>
      </c>
      <c r="P96">
        <v>7909.7701633392226</v>
      </c>
      <c r="Q96">
        <v>5199.4285714285716</v>
      </c>
    </row>
    <row r="97" spans="1:17" x14ac:dyDescent="0.25">
      <c r="A97">
        <v>9400</v>
      </c>
      <c r="B97">
        <v>249000</v>
      </c>
      <c r="C97">
        <v>57558.402328451724</v>
      </c>
      <c r="D97">
        <v>295000</v>
      </c>
      <c r="E97">
        <v>69070.082794142072</v>
      </c>
      <c r="F97">
        <v>249000</v>
      </c>
      <c r="G97">
        <v>145641.05202694651</v>
      </c>
      <c r="H97">
        <v>295000</v>
      </c>
      <c r="I97">
        <v>144769.26243233579</v>
      </c>
      <c r="J97">
        <v>7330</v>
      </c>
      <c r="K97">
        <v>6468.971428571429</v>
      </c>
      <c r="L97">
        <v>7330</v>
      </c>
      <c r="M97">
        <v>3233.37718</v>
      </c>
      <c r="N97">
        <v>7712.4100071509838</v>
      </c>
      <c r="O97">
        <v>2289.1428571428573</v>
      </c>
      <c r="P97">
        <v>7917.8886695154433</v>
      </c>
      <c r="Q97">
        <v>5269.7142857142853</v>
      </c>
    </row>
    <row r="98" spans="1:17" x14ac:dyDescent="0.25">
      <c r="A98">
        <v>9500</v>
      </c>
      <c r="B98">
        <v>249000</v>
      </c>
      <c r="C98">
        <v>55533.402328451724</v>
      </c>
      <c r="D98">
        <v>295000</v>
      </c>
      <c r="E98">
        <v>66640.082794142072</v>
      </c>
      <c r="F98">
        <v>249000</v>
      </c>
      <c r="G98">
        <v>143616.05202694651</v>
      </c>
      <c r="H98">
        <v>295000</v>
      </c>
      <c r="I98">
        <v>142339.26243233579</v>
      </c>
      <c r="J98">
        <v>7330</v>
      </c>
      <c r="K98">
        <v>6473.4285714285716</v>
      </c>
      <c r="L98">
        <v>7330</v>
      </c>
      <c r="M98">
        <v>3237.7471499999997</v>
      </c>
      <c r="N98">
        <v>7723.2639502205529</v>
      </c>
      <c r="O98">
        <v>2335.428571428572</v>
      </c>
      <c r="P98">
        <v>7925.873030021874</v>
      </c>
      <c r="Q98">
        <v>5340</v>
      </c>
    </row>
    <row r="99" spans="1:17" x14ac:dyDescent="0.25">
      <c r="A99">
        <v>9600</v>
      </c>
      <c r="B99">
        <v>249000</v>
      </c>
      <c r="C99">
        <v>53508.402328451724</v>
      </c>
      <c r="D99">
        <v>295000</v>
      </c>
      <c r="E99">
        <v>64210.082794142072</v>
      </c>
      <c r="F99">
        <v>249000</v>
      </c>
      <c r="G99">
        <v>141591.05202694651</v>
      </c>
      <c r="H99">
        <v>295000</v>
      </c>
      <c r="I99">
        <v>139909.26243233579</v>
      </c>
      <c r="J99">
        <v>7330</v>
      </c>
      <c r="K99">
        <v>6477.8857142857141</v>
      </c>
      <c r="L99">
        <v>7330</v>
      </c>
      <c r="M99">
        <v>3242.1171199999999</v>
      </c>
      <c r="N99">
        <v>7733.9860892398783</v>
      </c>
      <c r="O99">
        <v>2381.7142857142853</v>
      </c>
      <c r="P99">
        <v>7933.7229827281008</v>
      </c>
      <c r="Q99">
        <v>5410.2857142857147</v>
      </c>
    </row>
    <row r="100" spans="1:17" x14ac:dyDescent="0.25">
      <c r="A100">
        <v>9700</v>
      </c>
      <c r="B100">
        <v>249000</v>
      </c>
      <c r="C100">
        <v>51483.402328451724</v>
      </c>
      <c r="D100">
        <v>295000</v>
      </c>
      <c r="E100">
        <v>61780.082794142072</v>
      </c>
      <c r="F100">
        <v>249000</v>
      </c>
      <c r="G100">
        <v>139566.05202694651</v>
      </c>
      <c r="H100">
        <v>295000</v>
      </c>
      <c r="I100">
        <v>137479.26243233579</v>
      </c>
      <c r="J100">
        <v>7330</v>
      </c>
      <c r="K100">
        <v>6482.3428571428585</v>
      </c>
      <c r="L100">
        <v>7330</v>
      </c>
      <c r="M100">
        <v>3246.4870900000001</v>
      </c>
      <c r="N100">
        <v>7744.5764368724513</v>
      </c>
      <c r="O100">
        <v>2428</v>
      </c>
      <c r="P100">
        <v>7941.4382505011781</v>
      </c>
      <c r="Q100">
        <v>5480.5714285714284</v>
      </c>
    </row>
    <row r="101" spans="1:17" x14ac:dyDescent="0.25">
      <c r="A101">
        <v>9800</v>
      </c>
      <c r="B101">
        <v>249000</v>
      </c>
      <c r="C101">
        <v>49458.402328451724</v>
      </c>
      <c r="D101">
        <v>295000</v>
      </c>
      <c r="E101">
        <v>59350.082794142072</v>
      </c>
      <c r="F101">
        <v>249000</v>
      </c>
      <c r="G101">
        <v>137541.05202694651</v>
      </c>
      <c r="H101">
        <v>295000</v>
      </c>
      <c r="I101">
        <v>135049.26243233579</v>
      </c>
      <c r="J101">
        <v>7330</v>
      </c>
      <c r="K101">
        <v>6486.8</v>
      </c>
      <c r="L101">
        <v>7330</v>
      </c>
      <c r="M101">
        <v>3250.8570599999998</v>
      </c>
      <c r="N101">
        <v>7755.0349936007178</v>
      </c>
      <c r="O101">
        <v>2474.2857142857142</v>
      </c>
      <c r="P101">
        <v>7949.0185409957849</v>
      </c>
      <c r="Q101">
        <v>5550.8571428571431</v>
      </c>
    </row>
    <row r="102" spans="1:17" x14ac:dyDescent="0.25">
      <c r="A102">
        <v>9900</v>
      </c>
      <c r="B102">
        <v>249000</v>
      </c>
      <c r="C102">
        <v>47433.402328451732</v>
      </c>
      <c r="D102">
        <v>295000</v>
      </c>
      <c r="E102">
        <v>56920.082794142079</v>
      </c>
      <c r="F102">
        <v>249000</v>
      </c>
      <c r="G102">
        <v>135516.05202694651</v>
      </c>
      <c r="H102">
        <v>295000</v>
      </c>
      <c r="I102">
        <v>132619.26243233579</v>
      </c>
      <c r="J102">
        <v>7330</v>
      </c>
      <c r="K102">
        <v>6491.2571428571428</v>
      </c>
      <c r="L102">
        <v>7330</v>
      </c>
      <c r="M102">
        <v>3255.22703</v>
      </c>
      <c r="N102">
        <v>7765.3617476457675</v>
      </c>
      <c r="O102">
        <v>2520.5714285714289</v>
      </c>
      <c r="P102">
        <v>7956.4635464361863</v>
      </c>
      <c r="Q102">
        <v>5621.1428571428578</v>
      </c>
    </row>
    <row r="103" spans="1:17" x14ac:dyDescent="0.25">
      <c r="A103">
        <v>10000</v>
      </c>
      <c r="B103">
        <v>249000</v>
      </c>
      <c r="C103">
        <v>45408.402328451732</v>
      </c>
      <c r="D103">
        <v>295000</v>
      </c>
      <c r="E103">
        <v>54490.082794142079</v>
      </c>
      <c r="F103">
        <v>249000</v>
      </c>
      <c r="G103">
        <v>133491.05202694651</v>
      </c>
      <c r="H103">
        <v>295000</v>
      </c>
      <c r="I103">
        <v>130189.26243233579</v>
      </c>
      <c r="J103">
        <v>7330</v>
      </c>
      <c r="K103">
        <v>6495.7142857142853</v>
      </c>
      <c r="L103">
        <v>7330</v>
      </c>
      <c r="M103">
        <v>3259.5969999999998</v>
      </c>
      <c r="N103">
        <v>7775.5566748819901</v>
      </c>
      <c r="O103">
        <v>2566.8571428571422</v>
      </c>
      <c r="P103">
        <v>7963.7729433897139</v>
      </c>
      <c r="Q103">
        <v>5691.4285714285716</v>
      </c>
    </row>
    <row r="104" spans="1:17" x14ac:dyDescent="0.25">
      <c r="A104">
        <v>10100</v>
      </c>
      <c r="B104">
        <v>249000</v>
      </c>
      <c r="C104">
        <v>43383.402328451732</v>
      </c>
      <c r="D104">
        <v>295000</v>
      </c>
      <c r="E104">
        <v>52060.082794142079</v>
      </c>
      <c r="F104">
        <v>249000</v>
      </c>
      <c r="G104">
        <v>131466.05202694651</v>
      </c>
      <c r="H104">
        <v>295000</v>
      </c>
      <c r="I104">
        <v>127759.26243233579</v>
      </c>
      <c r="J104">
        <v>7330</v>
      </c>
      <c r="K104">
        <v>6500.171428571427</v>
      </c>
      <c r="L104">
        <v>7330</v>
      </c>
      <c r="M104">
        <v>3263.9669699999999</v>
      </c>
      <c r="N104">
        <v>7785.6197387466718</v>
      </c>
      <c r="O104">
        <v>2613.1428571428578</v>
      </c>
      <c r="P104">
        <v>7970.9463925315304</v>
      </c>
      <c r="Q104">
        <v>5761.7142857142862</v>
      </c>
    </row>
    <row r="105" spans="1:17" x14ac:dyDescent="0.25">
      <c r="A105">
        <v>10200</v>
      </c>
      <c r="B105">
        <v>249000</v>
      </c>
      <c r="C105">
        <v>41358.402328451732</v>
      </c>
      <c r="D105">
        <v>295000</v>
      </c>
      <c r="E105">
        <v>49630.082794142079</v>
      </c>
      <c r="F105">
        <v>249000</v>
      </c>
      <c r="G105">
        <v>129441.05202694649</v>
      </c>
      <c r="H105">
        <v>295000</v>
      </c>
      <c r="I105">
        <v>125329.26243233579</v>
      </c>
      <c r="J105">
        <v>7330</v>
      </c>
      <c r="K105">
        <v>6504.6285714285723</v>
      </c>
      <c r="L105">
        <v>7330</v>
      </c>
      <c r="M105">
        <v>-1059.52</v>
      </c>
      <c r="N105">
        <v>7795.5508901443945</v>
      </c>
      <c r="O105">
        <v>2659.4285714285716</v>
      </c>
      <c r="P105">
        <v>7977.9835384003882</v>
      </c>
      <c r="Q105">
        <v>5832</v>
      </c>
    </row>
    <row r="106" spans="1:17" x14ac:dyDescent="0.25">
      <c r="A106">
        <v>10300</v>
      </c>
      <c r="B106">
        <v>249000</v>
      </c>
      <c r="C106">
        <v>39333.402328451732</v>
      </c>
      <c r="D106">
        <v>295000</v>
      </c>
      <c r="E106">
        <v>47200.082794142079</v>
      </c>
      <c r="F106">
        <v>249000</v>
      </c>
      <c r="G106">
        <v>127416.05202694649</v>
      </c>
      <c r="H106">
        <v>295000</v>
      </c>
      <c r="I106">
        <v>122899.26243233579</v>
      </c>
      <c r="J106">
        <v>7330</v>
      </c>
      <c r="K106">
        <v>6509.0857142857149</v>
      </c>
      <c r="L106">
        <v>7330</v>
      </c>
      <c r="M106">
        <v>-1097.58</v>
      </c>
      <c r="N106">
        <v>7805.3500673461358</v>
      </c>
      <c r="O106">
        <v>2705.7142857142858</v>
      </c>
      <c r="P106">
        <v>7984.884009145112</v>
      </c>
      <c r="Q106">
        <v>5902.2857142857147</v>
      </c>
    </row>
    <row r="107" spans="1:17" x14ac:dyDescent="0.25">
      <c r="A107">
        <v>10400</v>
      </c>
      <c r="B107">
        <v>249000</v>
      </c>
      <c r="C107">
        <v>37308.402328451732</v>
      </c>
      <c r="D107">
        <v>295000</v>
      </c>
      <c r="E107">
        <v>44770.082794142079</v>
      </c>
      <c r="F107">
        <v>249000</v>
      </c>
      <c r="G107">
        <v>125391.05202694649</v>
      </c>
      <c r="H107">
        <v>295000</v>
      </c>
      <c r="I107">
        <v>120469.26243233579</v>
      </c>
      <c r="J107">
        <v>7330</v>
      </c>
      <c r="K107">
        <v>6513.5428571428574</v>
      </c>
      <c r="L107">
        <v>7330</v>
      </c>
      <c r="M107">
        <v>-1135.6400000000001</v>
      </c>
      <c r="N107">
        <v>7815.0171958829915</v>
      </c>
      <c r="O107">
        <v>2751.9999999999995</v>
      </c>
      <c r="P107">
        <v>7991.6474162615159</v>
      </c>
      <c r="Q107">
        <v>5972.5714285714294</v>
      </c>
    </row>
    <row r="108" spans="1:17" x14ac:dyDescent="0.25">
      <c r="A108">
        <v>10500</v>
      </c>
      <c r="B108">
        <v>249000</v>
      </c>
      <c r="C108">
        <v>35283.402328451732</v>
      </c>
      <c r="D108">
        <v>295000</v>
      </c>
      <c r="E108">
        <v>42340.082794142079</v>
      </c>
      <c r="F108">
        <v>249000</v>
      </c>
      <c r="G108">
        <v>123366.05202694649</v>
      </c>
      <c r="H108">
        <v>295000</v>
      </c>
      <c r="I108">
        <v>118039.26243233579</v>
      </c>
      <c r="J108">
        <v>7330</v>
      </c>
      <c r="K108">
        <v>6517.9999999999991</v>
      </c>
      <c r="L108">
        <v>7330</v>
      </c>
      <c r="M108">
        <v>-1173.7</v>
      </c>
      <c r="N108">
        <v>7824.5521884343698</v>
      </c>
      <c r="O108">
        <v>2798.2857142857147</v>
      </c>
      <c r="P108">
        <v>7998.2733543193963</v>
      </c>
      <c r="Q108">
        <v>6042.8571428571431</v>
      </c>
    </row>
    <row r="109" spans="1:17" x14ac:dyDescent="0.25">
      <c r="A109">
        <v>10600</v>
      </c>
      <c r="B109">
        <v>249000</v>
      </c>
      <c r="C109">
        <v>33258.402328451732</v>
      </c>
      <c r="D109">
        <v>295000</v>
      </c>
      <c r="E109">
        <v>39910.082794142079</v>
      </c>
      <c r="F109">
        <v>249000</v>
      </c>
      <c r="G109">
        <v>121341.05202694649</v>
      </c>
      <c r="H109">
        <v>295000</v>
      </c>
      <c r="I109">
        <v>115609.26243233579</v>
      </c>
      <c r="J109">
        <v>7330</v>
      </c>
      <c r="K109">
        <v>6522.4571428571435</v>
      </c>
      <c r="L109">
        <v>7330</v>
      </c>
      <c r="M109">
        <v>-1211.76</v>
      </c>
      <c r="N109">
        <v>7833.9549447105619</v>
      </c>
      <c r="O109">
        <v>2844.5714285714284</v>
      </c>
      <c r="P109">
        <v>8004.7614006793519</v>
      </c>
      <c r="Q109">
        <v>6113.1428571428578</v>
      </c>
    </row>
    <row r="110" spans="1:17" x14ac:dyDescent="0.25">
      <c r="A110">
        <v>10700</v>
      </c>
      <c r="B110">
        <v>249000</v>
      </c>
      <c r="C110">
        <v>31233.402328451732</v>
      </c>
      <c r="D110">
        <v>295000</v>
      </c>
      <c r="E110">
        <v>37480.082794142079</v>
      </c>
      <c r="F110">
        <v>249000</v>
      </c>
      <c r="G110">
        <v>119316.05202694649</v>
      </c>
      <c r="H110">
        <v>295000</v>
      </c>
      <c r="I110">
        <v>113179.26243233579</v>
      </c>
      <c r="J110">
        <v>7330</v>
      </c>
      <c r="K110">
        <v>6526.9142857142861</v>
      </c>
      <c r="L110">
        <v>7330</v>
      </c>
      <c r="M110">
        <v>-1249.82</v>
      </c>
      <c r="N110">
        <v>7843.2253513295636</v>
      </c>
      <c r="O110">
        <v>2890.8571428571431</v>
      </c>
      <c r="P110">
        <v>8011.1111151990071</v>
      </c>
      <c r="Q110">
        <v>6183.4285714285706</v>
      </c>
    </row>
    <row r="111" spans="1:17" x14ac:dyDescent="0.25">
      <c r="A111">
        <v>10800</v>
      </c>
      <c r="B111">
        <v>249000</v>
      </c>
      <c r="C111">
        <v>29208.402328451732</v>
      </c>
      <c r="D111">
        <v>295000</v>
      </c>
      <c r="E111">
        <v>35050.082794142079</v>
      </c>
      <c r="F111">
        <v>249000</v>
      </c>
      <c r="G111">
        <v>117291.05202694649</v>
      </c>
      <c r="H111">
        <v>295000</v>
      </c>
      <c r="I111">
        <v>110749.26243233579</v>
      </c>
      <c r="J111">
        <v>7330</v>
      </c>
      <c r="K111">
        <v>6531.3714285714286</v>
      </c>
      <c r="L111">
        <v>7330</v>
      </c>
      <c r="M111">
        <v>-1287.8800000000001</v>
      </c>
      <c r="N111">
        <v>7852.3632816879908</v>
      </c>
      <c r="O111">
        <v>2937.1428571428582</v>
      </c>
      <c r="P111">
        <v>8017.3220399283318</v>
      </c>
      <c r="Q111">
        <v>6253.7142857142853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111"/>
  <sheetViews>
    <sheetView zoomScaleNormal="100" workbookViewId="0">
      <selection activeCell="F27" sqref="F27"/>
    </sheetView>
  </sheetViews>
  <sheetFormatPr defaultRowHeight="15.75" x14ac:dyDescent="0.25"/>
  <cols>
    <col min="2" max="2" width="16.625" bestFit="1" customWidth="1"/>
    <col min="3" max="3" width="13.5" customWidth="1"/>
    <col min="4" max="5" width="16.625" bestFit="1" customWidth="1"/>
    <col min="6" max="6" width="16.625" customWidth="1"/>
    <col min="7" max="7" width="10.75" bestFit="1" customWidth="1"/>
    <col min="8" max="8" width="16.625" bestFit="1" customWidth="1"/>
    <col min="9" max="10" width="9.375" bestFit="1" customWidth="1"/>
    <col min="11" max="12" width="9.375" customWidth="1"/>
    <col min="13" max="13" width="12.375" bestFit="1" customWidth="1"/>
  </cols>
  <sheetData>
    <row r="1" spans="1:41" ht="23.25" customHeight="1" x14ac:dyDescent="0.35">
      <c r="B1" s="196" t="s">
        <v>275</v>
      </c>
      <c r="C1" s="3"/>
      <c r="D1" s="3"/>
      <c r="E1" s="3"/>
      <c r="F1" s="3"/>
      <c r="G1" s="197" t="s">
        <v>276</v>
      </c>
      <c r="H1" s="197"/>
      <c r="I1" s="197"/>
      <c r="M1" s="197" t="s">
        <v>277</v>
      </c>
      <c r="N1" s="197"/>
      <c r="O1" s="197"/>
      <c r="U1" s="196" t="s">
        <v>278</v>
      </c>
      <c r="AB1" s="197" t="s">
        <v>279</v>
      </c>
      <c r="AC1" s="197"/>
      <c r="AD1" s="197"/>
      <c r="AJ1" s="198" t="s">
        <v>280</v>
      </c>
      <c r="AK1" s="198"/>
      <c r="AL1" s="198"/>
      <c r="AM1" s="198"/>
      <c r="AN1" s="198"/>
      <c r="AO1" s="198"/>
    </row>
    <row r="2" spans="1:41" x14ac:dyDescent="0.25">
      <c r="B2" s="133" t="s">
        <v>260</v>
      </c>
      <c r="C2" s="133" t="s">
        <v>244</v>
      </c>
      <c r="D2" t="s">
        <v>263</v>
      </c>
      <c r="E2" t="s">
        <v>243</v>
      </c>
      <c r="G2" t="s">
        <v>260</v>
      </c>
      <c r="H2" t="s">
        <v>244</v>
      </c>
      <c r="I2" t="s">
        <v>263</v>
      </c>
      <c r="J2" t="s">
        <v>243</v>
      </c>
      <c r="M2" t="s">
        <v>261</v>
      </c>
      <c r="N2" t="s">
        <v>163</v>
      </c>
      <c r="U2" t="s">
        <v>261</v>
      </c>
      <c r="V2" t="s">
        <v>163</v>
      </c>
      <c r="AB2" t="s">
        <v>262</v>
      </c>
      <c r="AC2" t="s">
        <v>164</v>
      </c>
      <c r="AJ2" t="s">
        <v>262</v>
      </c>
      <c r="AK2" t="s">
        <v>164</v>
      </c>
    </row>
    <row r="3" spans="1:41" x14ac:dyDescent="0.25">
      <c r="A3">
        <v>0</v>
      </c>
      <c r="B3">
        <v>744000</v>
      </c>
      <c r="C3">
        <v>604958.10052330629</v>
      </c>
      <c r="D3">
        <v>823000</v>
      </c>
      <c r="E3">
        <v>725949.7206279675</v>
      </c>
      <c r="G3">
        <v>744000</v>
      </c>
      <c r="H3">
        <v>398587.11199167412</v>
      </c>
      <c r="I3">
        <v>823000</v>
      </c>
      <c r="J3">
        <v>448304.53439000895</v>
      </c>
      <c r="M3">
        <v>6020</v>
      </c>
      <c r="N3">
        <v>4380.3825244623313</v>
      </c>
      <c r="U3">
        <v>4670</v>
      </c>
      <c r="V3">
        <v>4400</v>
      </c>
      <c r="AB3">
        <v>2649.602666208928</v>
      </c>
      <c r="AC3">
        <v>0</v>
      </c>
      <c r="AJ3">
        <v>2748.3001693206588</v>
      </c>
      <c r="AK3">
        <v>0</v>
      </c>
    </row>
    <row r="4" spans="1:41" x14ac:dyDescent="0.25">
      <c r="A4">
        <v>100</v>
      </c>
      <c r="B4">
        <v>744000</v>
      </c>
      <c r="C4">
        <v>598958.10052330629</v>
      </c>
      <c r="D4">
        <v>823000</v>
      </c>
      <c r="E4">
        <v>718749.7206279675</v>
      </c>
      <c r="G4">
        <v>744000</v>
      </c>
      <c r="H4">
        <v>392587.11199167412</v>
      </c>
      <c r="I4">
        <v>823000</v>
      </c>
      <c r="J4">
        <v>441104.53439000895</v>
      </c>
      <c r="M4">
        <v>6020</v>
      </c>
      <c r="N4">
        <v>4341.3662570136057</v>
      </c>
      <c r="U4">
        <v>4670</v>
      </c>
      <c r="V4">
        <v>4402.1142857142859</v>
      </c>
      <c r="AB4">
        <v>2652.4877204686327</v>
      </c>
      <c r="AC4">
        <v>20.571428571428584</v>
      </c>
      <c r="AJ4">
        <v>2752.6165663446341</v>
      </c>
      <c r="AK4">
        <v>55.428571428571423</v>
      </c>
    </row>
    <row r="5" spans="1:41" x14ac:dyDescent="0.25">
      <c r="A5">
        <v>200</v>
      </c>
      <c r="B5">
        <v>744000</v>
      </c>
      <c r="C5">
        <v>592958.10052330629</v>
      </c>
      <c r="D5">
        <v>823000</v>
      </c>
      <c r="E5">
        <v>711549.7206279675</v>
      </c>
      <c r="G5">
        <v>744000</v>
      </c>
      <c r="H5">
        <v>386587.11199167412</v>
      </c>
      <c r="I5">
        <v>823000</v>
      </c>
      <c r="J5">
        <v>433904.53439000895</v>
      </c>
      <c r="M5">
        <v>6020</v>
      </c>
      <c r="N5">
        <v>4302.3499895648811</v>
      </c>
      <c r="U5">
        <v>4670</v>
      </c>
      <c r="V5">
        <v>4404.2285714285717</v>
      </c>
      <c r="AB5">
        <v>2655.3232347692992</v>
      </c>
      <c r="AC5">
        <v>41.142857142857167</v>
      </c>
      <c r="AJ5">
        <v>2756.8893590427383</v>
      </c>
      <c r="AK5">
        <v>110.85714285714285</v>
      </c>
    </row>
    <row r="6" spans="1:41" x14ac:dyDescent="0.25">
      <c r="A6">
        <v>300</v>
      </c>
      <c r="B6">
        <v>744000</v>
      </c>
      <c r="C6">
        <v>586958.10052330629</v>
      </c>
      <c r="D6">
        <v>823000</v>
      </c>
      <c r="E6">
        <v>704349.7206279675</v>
      </c>
      <c r="G6">
        <v>744000</v>
      </c>
      <c r="H6">
        <v>380587.11199167412</v>
      </c>
      <c r="I6">
        <v>823000</v>
      </c>
      <c r="J6">
        <v>426704.53439000895</v>
      </c>
      <c r="M6">
        <v>6020</v>
      </c>
      <c r="N6">
        <v>4263.3337221161555</v>
      </c>
      <c r="U6">
        <v>4670</v>
      </c>
      <c r="V6">
        <v>4406.3428571428567</v>
      </c>
      <c r="AB6">
        <v>2660.5337050379007</v>
      </c>
      <c r="AC6">
        <v>61.714285714285737</v>
      </c>
      <c r="AJ6">
        <v>2761.118757833483</v>
      </c>
      <c r="AK6">
        <v>166.28571428571428</v>
      </c>
    </row>
    <row r="7" spans="1:41" x14ac:dyDescent="0.25">
      <c r="A7">
        <v>400</v>
      </c>
      <c r="B7">
        <v>744000</v>
      </c>
      <c r="C7">
        <v>580958.10052330629</v>
      </c>
      <c r="D7">
        <v>823000</v>
      </c>
      <c r="E7">
        <v>697149.7206279675</v>
      </c>
      <c r="G7">
        <v>744000</v>
      </c>
      <c r="H7">
        <v>374587.11199167412</v>
      </c>
      <c r="I7">
        <v>823000</v>
      </c>
      <c r="J7">
        <v>419504.53439000895</v>
      </c>
      <c r="M7">
        <v>6020</v>
      </c>
      <c r="N7">
        <v>4224.31745466743</v>
      </c>
      <c r="U7">
        <v>4670</v>
      </c>
      <c r="V7">
        <v>4408.4571428571435</v>
      </c>
      <c r="AB7">
        <v>2665.6959402233811</v>
      </c>
      <c r="AC7">
        <v>82.285714285714334</v>
      </c>
      <c r="AJ7">
        <v>2765.3049704092177</v>
      </c>
      <c r="AK7">
        <v>221.71428571428569</v>
      </c>
    </row>
    <row r="8" spans="1:41" x14ac:dyDescent="0.25">
      <c r="A8">
        <v>500</v>
      </c>
      <c r="B8">
        <v>744000</v>
      </c>
      <c r="C8">
        <v>574958.10052330629</v>
      </c>
      <c r="D8">
        <v>823000</v>
      </c>
      <c r="E8">
        <v>689949.7206279675</v>
      </c>
      <c r="G8">
        <v>744000</v>
      </c>
      <c r="H8">
        <v>368587.11199167412</v>
      </c>
      <c r="I8">
        <v>823000</v>
      </c>
      <c r="J8">
        <v>412304.53439000895</v>
      </c>
      <c r="M8">
        <v>6020</v>
      </c>
      <c r="N8">
        <v>4185.3011872187044</v>
      </c>
      <c r="U8">
        <v>4670</v>
      </c>
      <c r="V8">
        <v>4410.5714285714284</v>
      </c>
      <c r="AB8">
        <v>2670.8102031600506</v>
      </c>
      <c r="AC8">
        <v>102.8571428571429</v>
      </c>
      <c r="AJ8">
        <v>2769.4482017291857</v>
      </c>
      <c r="AK8">
        <v>277.14285714285717</v>
      </c>
    </row>
    <row r="9" spans="1:41" x14ac:dyDescent="0.25">
      <c r="A9">
        <v>600</v>
      </c>
      <c r="B9">
        <v>744000</v>
      </c>
      <c r="C9">
        <v>568958.10052330629</v>
      </c>
      <c r="D9">
        <v>823000</v>
      </c>
      <c r="E9">
        <v>682749.7206279675</v>
      </c>
      <c r="G9">
        <v>744000</v>
      </c>
      <c r="H9">
        <v>362587.11199167412</v>
      </c>
      <c r="I9">
        <v>823000</v>
      </c>
      <c r="J9">
        <v>405104.53439000895</v>
      </c>
      <c r="M9">
        <v>5590</v>
      </c>
      <c r="N9">
        <v>4146.2849197699798</v>
      </c>
      <c r="U9">
        <v>4670</v>
      </c>
      <c r="V9">
        <v>4412.6857142857152</v>
      </c>
      <c r="AB9">
        <v>2675.8767539867504</v>
      </c>
      <c r="AC9">
        <v>123.42857142857147</v>
      </c>
      <c r="AJ9">
        <v>2773.5486540120041</v>
      </c>
      <c r="AK9">
        <v>332.57142857142856</v>
      </c>
    </row>
    <row r="10" spans="1:41" x14ac:dyDescent="0.25">
      <c r="A10">
        <v>700</v>
      </c>
      <c r="B10">
        <v>744000</v>
      </c>
      <c r="C10">
        <v>562958.10052330629</v>
      </c>
      <c r="D10">
        <v>823000</v>
      </c>
      <c r="E10">
        <v>675549.7206279675</v>
      </c>
      <c r="G10">
        <v>744000</v>
      </c>
      <c r="H10">
        <v>356587.11199167412</v>
      </c>
      <c r="I10">
        <v>823000</v>
      </c>
      <c r="J10">
        <v>397904.53439000895</v>
      </c>
      <c r="M10">
        <v>5590</v>
      </c>
      <c r="N10">
        <v>4107.2686523212542</v>
      </c>
      <c r="U10">
        <v>4670</v>
      </c>
      <c r="V10">
        <v>4414.8</v>
      </c>
      <c r="AB10">
        <v>2680.8958501498373</v>
      </c>
      <c r="AC10">
        <v>144.00000000000011</v>
      </c>
      <c r="AJ10">
        <v>2777.6065267275544</v>
      </c>
      <c r="AK10">
        <v>388</v>
      </c>
    </row>
    <row r="11" spans="1:41" x14ac:dyDescent="0.25">
      <c r="A11">
        <v>800</v>
      </c>
      <c r="B11">
        <v>744000</v>
      </c>
      <c r="C11">
        <v>556958.10052330629</v>
      </c>
      <c r="D11">
        <v>823000</v>
      </c>
      <c r="E11">
        <v>668349.7206279675</v>
      </c>
      <c r="G11">
        <v>744000</v>
      </c>
      <c r="H11">
        <v>350587.11199167412</v>
      </c>
      <c r="I11">
        <v>823000</v>
      </c>
      <c r="J11">
        <v>390704.53439000895</v>
      </c>
      <c r="M11">
        <v>5590</v>
      </c>
      <c r="N11">
        <v>4068.2523848725291</v>
      </c>
      <c r="U11">
        <v>4670</v>
      </c>
      <c r="V11">
        <v>4416.9142857142861</v>
      </c>
      <c r="AB11">
        <v>2685.8677464056977</v>
      </c>
      <c r="AC11">
        <v>164.57142857142867</v>
      </c>
      <c r="AJ11">
        <v>2781.6220165882942</v>
      </c>
      <c r="AK11">
        <v>443.42857142857139</v>
      </c>
    </row>
    <row r="12" spans="1:41" x14ac:dyDescent="0.25">
      <c r="A12">
        <v>900</v>
      </c>
      <c r="B12">
        <v>744000</v>
      </c>
      <c r="C12">
        <v>550958.10052330629</v>
      </c>
      <c r="D12">
        <v>823000</v>
      </c>
      <c r="E12">
        <v>661149.7206279675</v>
      </c>
      <c r="G12">
        <v>744000</v>
      </c>
      <c r="H12">
        <v>344587.11199167412</v>
      </c>
      <c r="I12">
        <v>823000</v>
      </c>
      <c r="J12">
        <v>383504.53439000895</v>
      </c>
      <c r="M12">
        <v>5590</v>
      </c>
      <c r="N12">
        <v>4029.2361174238035</v>
      </c>
      <c r="U12">
        <v>4670</v>
      </c>
      <c r="V12">
        <v>4419.028571428571</v>
      </c>
      <c r="AB12">
        <v>2690.7926948227832</v>
      </c>
      <c r="AC12">
        <v>185.14285714285717</v>
      </c>
      <c r="AJ12">
        <v>2785.5953175399682</v>
      </c>
      <c r="AK12">
        <v>498.85714285714289</v>
      </c>
    </row>
    <row r="13" spans="1:41" x14ac:dyDescent="0.25">
      <c r="A13">
        <v>1000</v>
      </c>
      <c r="B13">
        <v>744000</v>
      </c>
      <c r="C13">
        <v>544958.10052330629</v>
      </c>
      <c r="D13">
        <v>823000</v>
      </c>
      <c r="E13">
        <v>653949.7206279675</v>
      </c>
      <c r="G13">
        <v>744000</v>
      </c>
      <c r="H13">
        <v>338587.11199167412</v>
      </c>
      <c r="I13">
        <v>823000</v>
      </c>
      <c r="J13">
        <v>376304.53439000895</v>
      </c>
      <c r="M13">
        <v>5590</v>
      </c>
      <c r="N13">
        <v>3990.2198499750784</v>
      </c>
      <c r="U13">
        <v>4670</v>
      </c>
      <c r="V13">
        <v>4421.1428571428578</v>
      </c>
      <c r="AB13">
        <v>2695.6709447831622</v>
      </c>
      <c r="AC13">
        <v>205.71428571428581</v>
      </c>
      <c r="AJ13">
        <v>2789.526620751707</v>
      </c>
      <c r="AK13">
        <v>554.28571428571433</v>
      </c>
    </row>
    <row r="14" spans="1:41" x14ac:dyDescent="0.25">
      <c r="A14">
        <v>1100</v>
      </c>
      <c r="B14">
        <v>744000</v>
      </c>
      <c r="C14">
        <v>538958.10052330629</v>
      </c>
      <c r="D14">
        <v>823000</v>
      </c>
      <c r="E14">
        <v>646749.7206279675</v>
      </c>
      <c r="G14">
        <v>744000</v>
      </c>
      <c r="H14">
        <v>332587.11199167412</v>
      </c>
      <c r="I14">
        <v>823000</v>
      </c>
      <c r="J14">
        <v>369104.53439000895</v>
      </c>
      <c r="M14">
        <v>5590</v>
      </c>
      <c r="N14">
        <v>3951.2035825263529</v>
      </c>
      <c r="U14">
        <v>4670</v>
      </c>
      <c r="V14">
        <v>4423.2571428571428</v>
      </c>
      <c r="AB14">
        <v>2700.5027429835936</v>
      </c>
      <c r="AC14">
        <v>226.28571428571436</v>
      </c>
      <c r="AJ14">
        <v>2793.4161146055089</v>
      </c>
      <c r="AK14">
        <v>609.71428571428567</v>
      </c>
    </row>
    <row r="15" spans="1:41" x14ac:dyDescent="0.25">
      <c r="A15">
        <v>1200</v>
      </c>
      <c r="B15">
        <v>744000</v>
      </c>
      <c r="C15">
        <v>532958.10052330629</v>
      </c>
      <c r="D15">
        <v>823000</v>
      </c>
      <c r="E15">
        <v>639549.7206279675</v>
      </c>
      <c r="G15">
        <v>744000</v>
      </c>
      <c r="H15">
        <v>326587.11199167412</v>
      </c>
      <c r="I15">
        <v>823000</v>
      </c>
      <c r="J15">
        <v>361904.53439000895</v>
      </c>
      <c r="M15">
        <v>5590</v>
      </c>
      <c r="N15">
        <v>3912.1873150776273</v>
      </c>
      <c r="U15">
        <v>4670</v>
      </c>
      <c r="V15">
        <v>4425.3714285714295</v>
      </c>
      <c r="AB15">
        <v>2705.2883334361077</v>
      </c>
      <c r="AC15">
        <v>246.85714285714295</v>
      </c>
      <c r="AJ15">
        <v>2797.2639846850866</v>
      </c>
      <c r="AK15">
        <v>665.14285714285711</v>
      </c>
    </row>
    <row r="16" spans="1:41" x14ac:dyDescent="0.25">
      <c r="A16">
        <v>1300</v>
      </c>
      <c r="B16">
        <v>744000</v>
      </c>
      <c r="C16">
        <v>526958.10052330629</v>
      </c>
      <c r="D16">
        <v>823000</v>
      </c>
      <c r="E16">
        <v>632349.7206279675</v>
      </c>
      <c r="G16">
        <v>744000</v>
      </c>
      <c r="H16">
        <v>320587.11199167412</v>
      </c>
      <c r="I16">
        <v>823000</v>
      </c>
      <c r="J16">
        <v>354704.53439000895</v>
      </c>
      <c r="M16">
        <v>5590</v>
      </c>
      <c r="N16">
        <v>3873.1710476289027</v>
      </c>
      <c r="U16">
        <v>4670</v>
      </c>
      <c r="V16">
        <v>4427.4857142857145</v>
      </c>
      <c r="AB16">
        <v>2710.0279574681085</v>
      </c>
      <c r="AC16">
        <v>267.4285714285715</v>
      </c>
      <c r="AJ16">
        <v>2801.0704137640764</v>
      </c>
      <c r="AK16">
        <v>720.57142857142867</v>
      </c>
    </row>
    <row r="17" spans="1:37" x14ac:dyDescent="0.25">
      <c r="A17">
        <v>1400</v>
      </c>
      <c r="B17">
        <v>744000</v>
      </c>
      <c r="C17">
        <v>520958.10052330629</v>
      </c>
      <c r="D17">
        <v>823000</v>
      </c>
      <c r="E17">
        <v>625149.7206279675</v>
      </c>
      <c r="G17">
        <v>744000</v>
      </c>
      <c r="H17">
        <v>314587.11199167412</v>
      </c>
      <c r="I17">
        <v>823000</v>
      </c>
      <c r="J17">
        <v>347504.53439000895</v>
      </c>
      <c r="M17">
        <v>5590</v>
      </c>
      <c r="N17">
        <v>3834.1547801801771</v>
      </c>
      <c r="U17">
        <v>4670</v>
      </c>
      <c r="V17">
        <v>4429.6000000000004</v>
      </c>
      <c r="AB17">
        <v>2714.721853721966</v>
      </c>
      <c r="AC17">
        <v>288.00000000000023</v>
      </c>
      <c r="AJ17">
        <v>2804.8355817935981</v>
      </c>
      <c r="AK17">
        <v>776</v>
      </c>
    </row>
    <row r="18" spans="1:37" x14ac:dyDescent="0.25">
      <c r="A18">
        <v>1500</v>
      </c>
      <c r="B18">
        <v>744000</v>
      </c>
      <c r="C18">
        <v>514958.10052330629</v>
      </c>
      <c r="D18">
        <v>823000</v>
      </c>
      <c r="E18">
        <v>617949.7206279675</v>
      </c>
      <c r="G18">
        <v>744000</v>
      </c>
      <c r="H18">
        <v>308587.11199167412</v>
      </c>
      <c r="I18">
        <v>823000</v>
      </c>
      <c r="J18">
        <v>340304.53439000895</v>
      </c>
      <c r="M18">
        <v>5590</v>
      </c>
      <c r="N18">
        <v>3795.1385127314516</v>
      </c>
      <c r="U18">
        <v>4670</v>
      </c>
      <c r="V18">
        <v>4431.7142857142862</v>
      </c>
      <c r="AB18">
        <v>2719.3702581541397</v>
      </c>
      <c r="AC18">
        <v>308.57142857142878</v>
      </c>
      <c r="AJ18">
        <v>2808.5596658891382</v>
      </c>
      <c r="AK18">
        <v>831.42857142857144</v>
      </c>
    </row>
    <row r="19" spans="1:37" x14ac:dyDescent="0.25">
      <c r="A19">
        <v>1600</v>
      </c>
      <c r="B19">
        <v>744000</v>
      </c>
      <c r="C19">
        <v>508958.10052330629</v>
      </c>
      <c r="D19">
        <v>823000</v>
      </c>
      <c r="E19">
        <v>610749.7206279675</v>
      </c>
      <c r="G19">
        <v>744000</v>
      </c>
      <c r="H19">
        <v>302587.11199167412</v>
      </c>
      <c r="I19">
        <v>823000</v>
      </c>
      <c r="J19">
        <v>333104.53439000895</v>
      </c>
      <c r="M19">
        <v>5590</v>
      </c>
      <c r="N19">
        <v>3756.122245282726</v>
      </c>
      <c r="U19">
        <v>4670</v>
      </c>
      <c r="V19">
        <v>4433.8285714285721</v>
      </c>
      <c r="AB19">
        <v>2723.9734040337753</v>
      </c>
      <c r="AC19">
        <v>329.14285714285734</v>
      </c>
      <c r="AJ19">
        <v>2812.242840316766</v>
      </c>
      <c r="AK19">
        <v>886.85714285714278</v>
      </c>
    </row>
    <row r="20" spans="1:37" x14ac:dyDescent="0.25">
      <c r="A20">
        <v>1700</v>
      </c>
      <c r="B20">
        <v>744000</v>
      </c>
      <c r="C20">
        <v>502958.10052330629</v>
      </c>
      <c r="D20">
        <v>823000</v>
      </c>
      <c r="E20">
        <v>603549.7206279675</v>
      </c>
      <c r="G20">
        <v>744000</v>
      </c>
      <c r="H20">
        <v>296587.11199167412</v>
      </c>
      <c r="I20">
        <v>823000</v>
      </c>
      <c r="J20">
        <v>325904.53439000895</v>
      </c>
      <c r="M20">
        <v>5590</v>
      </c>
      <c r="N20">
        <v>3717.1059778340009</v>
      </c>
      <c r="U20">
        <v>4670</v>
      </c>
      <c r="V20">
        <v>4435.9428571428571</v>
      </c>
      <c r="AB20">
        <v>2728.5315219408094</v>
      </c>
      <c r="AC20">
        <v>349.71428571428589</v>
      </c>
      <c r="AJ20">
        <v>2815.885276478647</v>
      </c>
      <c r="AK20">
        <v>942.28571428571422</v>
      </c>
    </row>
    <row r="21" spans="1:37" x14ac:dyDescent="0.25">
      <c r="A21">
        <v>1800</v>
      </c>
      <c r="B21">
        <v>744000</v>
      </c>
      <c r="C21">
        <v>496958.10052330629</v>
      </c>
      <c r="D21">
        <v>823000</v>
      </c>
      <c r="E21">
        <v>596349.7206279675</v>
      </c>
      <c r="G21">
        <v>744000</v>
      </c>
      <c r="H21">
        <v>290587.11199167412</v>
      </c>
      <c r="I21">
        <v>823000</v>
      </c>
      <c r="J21">
        <v>318704.53439000895</v>
      </c>
      <c r="M21">
        <v>5590</v>
      </c>
      <c r="N21">
        <v>3678.0897103852753</v>
      </c>
      <c r="U21">
        <v>4670</v>
      </c>
      <c r="V21">
        <v>4438.0571428571438</v>
      </c>
      <c r="AB21">
        <v>2733.0448397635701</v>
      </c>
      <c r="AC21">
        <v>370.28571428571433</v>
      </c>
      <c r="AJ21">
        <v>2819.4871428978622</v>
      </c>
      <c r="AK21">
        <v>997.71428571428578</v>
      </c>
    </row>
    <row r="22" spans="1:37" x14ac:dyDescent="0.25">
      <c r="A22">
        <v>1900</v>
      </c>
      <c r="B22">
        <v>744000</v>
      </c>
      <c r="C22">
        <v>490958.10052330629</v>
      </c>
      <c r="D22">
        <v>823000</v>
      </c>
      <c r="E22">
        <v>589149.7206279675</v>
      </c>
      <c r="G22">
        <v>744000</v>
      </c>
      <c r="H22">
        <v>284587.11199167412</v>
      </c>
      <c r="I22">
        <v>823000</v>
      </c>
      <c r="J22">
        <v>311504.53439000895</v>
      </c>
      <c r="M22">
        <v>5590</v>
      </c>
      <c r="N22">
        <v>3639.0734429365502</v>
      </c>
      <c r="U22">
        <v>4670</v>
      </c>
      <c r="V22">
        <v>4440.1714285714288</v>
      </c>
      <c r="AB22">
        <v>2737.5135826958472</v>
      </c>
      <c r="AC22">
        <v>390.85714285714317</v>
      </c>
      <c r="AJ22">
        <v>2823.0486052024953</v>
      </c>
      <c r="AK22">
        <v>1053.1428571428571</v>
      </c>
    </row>
    <row r="23" spans="1:37" x14ac:dyDescent="0.25">
      <c r="A23">
        <v>2000</v>
      </c>
      <c r="B23">
        <v>744000</v>
      </c>
      <c r="C23">
        <v>484958.10052330629</v>
      </c>
      <c r="D23">
        <v>823000</v>
      </c>
      <c r="E23">
        <v>581949.7206279675</v>
      </c>
      <c r="G23">
        <v>744000</v>
      </c>
      <c r="H23">
        <v>278587.11199167412</v>
      </c>
      <c r="I23">
        <v>823000</v>
      </c>
      <c r="J23">
        <v>304304.53439000895</v>
      </c>
      <c r="M23">
        <v>5590</v>
      </c>
      <c r="N23">
        <v>3600.0571754878251</v>
      </c>
      <c r="U23">
        <v>4670</v>
      </c>
      <c r="V23">
        <v>4442.2857142857147</v>
      </c>
      <c r="AB23">
        <v>2741.937973233466</v>
      </c>
      <c r="AC23">
        <v>411.42857142857162</v>
      </c>
      <c r="AJ23">
        <v>2826.5698261089951</v>
      </c>
      <c r="AK23">
        <v>1108.5714285714287</v>
      </c>
    </row>
    <row r="24" spans="1:37" x14ac:dyDescent="0.25">
      <c r="A24">
        <v>2100</v>
      </c>
      <c r="B24">
        <v>744000</v>
      </c>
      <c r="C24">
        <v>478958.10052330629</v>
      </c>
      <c r="D24">
        <v>823000</v>
      </c>
      <c r="E24">
        <v>574749.7206279675</v>
      </c>
      <c r="G24">
        <v>744000</v>
      </c>
      <c r="H24">
        <v>272587.11199167412</v>
      </c>
      <c r="I24">
        <v>823000</v>
      </c>
      <c r="J24">
        <v>297104.53439000895</v>
      </c>
      <c r="M24">
        <v>5590</v>
      </c>
      <c r="N24">
        <v>3561.0409080390996</v>
      </c>
      <c r="U24">
        <v>4670</v>
      </c>
      <c r="V24">
        <v>4444.3999999999996</v>
      </c>
      <c r="AB24">
        <v>2746.3182311703117</v>
      </c>
      <c r="AC24">
        <v>432.00000000000028</v>
      </c>
      <c r="AJ24">
        <v>2830.0509654047778</v>
      </c>
      <c r="AK24">
        <v>1164</v>
      </c>
    </row>
    <row r="25" spans="1:37" x14ac:dyDescent="0.25">
      <c r="A25">
        <v>2200</v>
      </c>
      <c r="B25">
        <v>744000</v>
      </c>
      <c r="C25">
        <v>472958.10052330629</v>
      </c>
      <c r="D25">
        <v>823000</v>
      </c>
      <c r="E25">
        <v>567549.7206279675</v>
      </c>
      <c r="G25">
        <v>744000</v>
      </c>
      <c r="H25">
        <v>266587.11199167412</v>
      </c>
      <c r="I25">
        <v>823000</v>
      </c>
      <c r="J25">
        <v>289904.53439000895</v>
      </c>
      <c r="M25">
        <v>5590</v>
      </c>
      <c r="N25">
        <v>3522.0246405903745</v>
      </c>
      <c r="U25">
        <v>4670</v>
      </c>
      <c r="V25">
        <v>4446.5142857142855</v>
      </c>
      <c r="AB25">
        <v>2750.6545735938353</v>
      </c>
      <c r="AC25">
        <v>452.57142857142873</v>
      </c>
      <c r="AJ25">
        <v>2833.4921799300737</v>
      </c>
      <c r="AK25">
        <v>1219.4285714285713</v>
      </c>
    </row>
    <row r="26" spans="1:37" x14ac:dyDescent="0.25">
      <c r="A26">
        <v>2300</v>
      </c>
      <c r="B26">
        <v>744000</v>
      </c>
      <c r="C26">
        <v>466958.10052330629</v>
      </c>
      <c r="D26">
        <v>823000</v>
      </c>
      <c r="E26">
        <v>560349.7206279675</v>
      </c>
      <c r="G26">
        <v>744000</v>
      </c>
      <c r="H26">
        <v>260587.11199167412</v>
      </c>
      <c r="I26">
        <v>823000</v>
      </c>
      <c r="J26">
        <v>282704.53439000895</v>
      </c>
      <c r="M26">
        <v>5590</v>
      </c>
      <c r="N26">
        <v>3483.0083731416494</v>
      </c>
      <c r="U26">
        <v>4670</v>
      </c>
      <c r="V26">
        <v>4448.6285714285723</v>
      </c>
      <c r="AB26">
        <v>2754.9472148800273</v>
      </c>
      <c r="AC26">
        <v>473.14285714285745</v>
      </c>
      <c r="AJ26">
        <v>2836.8936235589763</v>
      </c>
      <c r="AK26">
        <v>1274.8571428571429</v>
      </c>
    </row>
    <row r="27" spans="1:37" x14ac:dyDescent="0.25">
      <c r="A27">
        <v>2400</v>
      </c>
      <c r="B27">
        <v>744000</v>
      </c>
      <c r="C27">
        <v>460958.10052330629</v>
      </c>
      <c r="D27">
        <v>823000</v>
      </c>
      <c r="E27">
        <v>553149.7206279675</v>
      </c>
      <c r="G27">
        <v>744000</v>
      </c>
      <c r="H27">
        <v>254587.11199167412</v>
      </c>
      <c r="I27">
        <v>823000</v>
      </c>
      <c r="J27">
        <v>275504.53439000895</v>
      </c>
      <c r="M27">
        <v>5590</v>
      </c>
      <c r="N27">
        <v>3443.9921056929238</v>
      </c>
      <c r="U27">
        <v>4670</v>
      </c>
      <c r="V27">
        <v>4450.7428571428572</v>
      </c>
      <c r="AB27">
        <v>2759.196366687825</v>
      </c>
      <c r="AC27">
        <v>493.71428571428589</v>
      </c>
      <c r="AJ27">
        <v>2840.2554471796971</v>
      </c>
      <c r="AK27">
        <v>1330.2857142857142</v>
      </c>
    </row>
    <row r="28" spans="1:37" x14ac:dyDescent="0.25">
      <c r="A28">
        <v>2500</v>
      </c>
      <c r="B28">
        <v>744000</v>
      </c>
      <c r="C28">
        <v>454958.10052330629</v>
      </c>
      <c r="D28">
        <v>823000</v>
      </c>
      <c r="E28">
        <v>545949.7206279675</v>
      </c>
      <c r="G28">
        <v>744000</v>
      </c>
      <c r="H28">
        <v>248587.11199167412</v>
      </c>
      <c r="I28">
        <v>823000</v>
      </c>
      <c r="J28">
        <v>268304.53439000895</v>
      </c>
      <c r="M28">
        <v>5590</v>
      </c>
      <c r="N28">
        <v>3404.9758382441983</v>
      </c>
      <c r="U28">
        <v>4670</v>
      </c>
      <c r="V28">
        <v>4452.8571428571431</v>
      </c>
      <c r="AB28">
        <v>2763.4022379529915</v>
      </c>
      <c r="AC28">
        <v>514.28571428571433</v>
      </c>
      <c r="AJ28">
        <v>2843.5777986740095</v>
      </c>
      <c r="AK28">
        <v>1385.7142857142858</v>
      </c>
    </row>
    <row r="29" spans="1:37" x14ac:dyDescent="0.25">
      <c r="A29">
        <v>2600</v>
      </c>
      <c r="B29">
        <v>744000</v>
      </c>
      <c r="C29">
        <v>448958.10052330629</v>
      </c>
      <c r="D29">
        <v>823000</v>
      </c>
      <c r="E29">
        <v>538749.7206279675</v>
      </c>
      <c r="G29">
        <v>744000</v>
      </c>
      <c r="H29">
        <v>242587.11199167412</v>
      </c>
      <c r="I29">
        <v>823000</v>
      </c>
      <c r="J29">
        <v>261104.53439000895</v>
      </c>
      <c r="M29">
        <v>5590</v>
      </c>
      <c r="N29">
        <v>3365.9595707954732</v>
      </c>
      <c r="U29">
        <v>4670</v>
      </c>
      <c r="V29">
        <v>4454.9714285714281</v>
      </c>
      <c r="AB29">
        <v>2767.5650348814215</v>
      </c>
      <c r="AC29">
        <v>534.857142857143</v>
      </c>
      <c r="AJ29">
        <v>2846.8608228958374</v>
      </c>
      <c r="AK29">
        <v>1441.1428571428573</v>
      </c>
    </row>
    <row r="30" spans="1:37" x14ac:dyDescent="0.25">
      <c r="A30">
        <v>2700</v>
      </c>
      <c r="B30">
        <v>744000</v>
      </c>
      <c r="C30">
        <v>442958.10052330629</v>
      </c>
      <c r="D30">
        <v>823000</v>
      </c>
      <c r="E30">
        <v>531549.7206279675</v>
      </c>
      <c r="G30">
        <v>744000</v>
      </c>
      <c r="H30">
        <v>236587.11199167412</v>
      </c>
      <c r="I30">
        <v>823000</v>
      </c>
      <c r="J30">
        <v>253904.53439000895</v>
      </c>
      <c r="M30">
        <v>5590</v>
      </c>
      <c r="N30">
        <v>3326.9433033467485</v>
      </c>
      <c r="U30">
        <v>4670</v>
      </c>
      <c r="V30">
        <v>4457.0857142857149</v>
      </c>
      <c r="AB30">
        <v>2771.6849609418732</v>
      </c>
      <c r="AC30">
        <v>555.42857142857167</v>
      </c>
      <c r="AJ30">
        <v>2850.1046616489953</v>
      </c>
      <c r="AK30">
        <v>1496.5714285714284</v>
      </c>
    </row>
    <row r="31" spans="1:37" x14ac:dyDescent="0.25">
      <c r="A31">
        <v>2800</v>
      </c>
      <c r="B31">
        <v>744000</v>
      </c>
      <c r="C31">
        <v>436958.10052330629</v>
      </c>
      <c r="D31">
        <v>823000</v>
      </c>
      <c r="E31">
        <v>524349.7206279675</v>
      </c>
      <c r="G31">
        <v>744000</v>
      </c>
      <c r="H31">
        <v>230587.11199167412</v>
      </c>
      <c r="I31">
        <v>823000</v>
      </c>
      <c r="J31">
        <v>246704.53439000895</v>
      </c>
      <c r="M31">
        <v>5590</v>
      </c>
      <c r="N31">
        <v>3287.9270358980225</v>
      </c>
      <c r="U31">
        <v>4670</v>
      </c>
      <c r="V31">
        <v>4459.2</v>
      </c>
      <c r="AB31">
        <v>2775.7622168581447</v>
      </c>
      <c r="AC31">
        <v>576.00000000000045</v>
      </c>
      <c r="AJ31">
        <v>2853.3094536640501</v>
      </c>
      <c r="AK31">
        <v>1552</v>
      </c>
    </row>
    <row r="32" spans="1:37" x14ac:dyDescent="0.25">
      <c r="A32">
        <v>2900</v>
      </c>
      <c r="B32">
        <v>744000</v>
      </c>
      <c r="C32">
        <v>430958.10052330629</v>
      </c>
      <c r="D32">
        <v>823000</v>
      </c>
      <c r="E32">
        <v>517149.7206279675</v>
      </c>
      <c r="G32">
        <v>744000</v>
      </c>
      <c r="H32">
        <v>224587.11199167412</v>
      </c>
      <c r="I32">
        <v>823000</v>
      </c>
      <c r="J32">
        <v>239504.53439000895</v>
      </c>
      <c r="M32">
        <v>5590</v>
      </c>
      <c r="N32">
        <v>3248.9107684492974</v>
      </c>
      <c r="U32">
        <v>4670</v>
      </c>
      <c r="V32">
        <v>4461.3142857142857</v>
      </c>
      <c r="AB32">
        <v>2779.7970006006449</v>
      </c>
      <c r="AC32">
        <v>596.5714285714289</v>
      </c>
      <c r="AJ32">
        <v>2856.4753345742806</v>
      </c>
      <c r="AK32">
        <v>1607.4285714285713</v>
      </c>
    </row>
    <row r="33" spans="1:37" x14ac:dyDescent="0.25">
      <c r="A33">
        <v>3000</v>
      </c>
      <c r="B33">
        <v>744000</v>
      </c>
      <c r="C33">
        <v>424958.10052330629</v>
      </c>
      <c r="D33">
        <v>823000</v>
      </c>
      <c r="E33">
        <v>509949.7206279675</v>
      </c>
      <c r="G33">
        <v>744000</v>
      </c>
      <c r="H33">
        <v>218587.11199167412</v>
      </c>
      <c r="I33">
        <v>823000</v>
      </c>
      <c r="J33">
        <v>232304.53439000895</v>
      </c>
      <c r="M33">
        <v>5590</v>
      </c>
      <c r="N33">
        <v>3209.8945010005723</v>
      </c>
      <c r="U33">
        <v>4670</v>
      </c>
      <c r="V33">
        <v>4463.4285714285716</v>
      </c>
      <c r="AB33">
        <v>2783.7895073773789</v>
      </c>
      <c r="AC33">
        <v>617.14285714285757</v>
      </c>
      <c r="AJ33">
        <v>2859.6024368907197</v>
      </c>
      <c r="AK33">
        <v>1662.8571428571429</v>
      </c>
    </row>
    <row r="34" spans="1:37" x14ac:dyDescent="0.25">
      <c r="A34">
        <v>3100</v>
      </c>
      <c r="B34">
        <v>744000</v>
      </c>
      <c r="C34">
        <v>418958.10052330629</v>
      </c>
      <c r="D34">
        <v>823000</v>
      </c>
      <c r="E34">
        <v>502749.7206279675</v>
      </c>
      <c r="G34">
        <v>744000</v>
      </c>
      <c r="H34">
        <v>212587.11199167412</v>
      </c>
      <c r="I34">
        <v>823000</v>
      </c>
      <c r="J34">
        <v>225104.53439000895</v>
      </c>
      <c r="M34">
        <v>5590</v>
      </c>
      <c r="N34">
        <v>3170.8782335518467</v>
      </c>
      <c r="U34">
        <v>4670</v>
      </c>
      <c r="V34">
        <v>4465.5428571428574</v>
      </c>
      <c r="AB34">
        <v>2787.739929624322</v>
      </c>
      <c r="AC34">
        <v>637.71428571428601</v>
      </c>
      <c r="AJ34">
        <v>2862.690889976247</v>
      </c>
      <c r="AK34">
        <v>1718.2857142857144</v>
      </c>
    </row>
    <row r="35" spans="1:37" x14ac:dyDescent="0.25">
      <c r="A35">
        <v>3200</v>
      </c>
      <c r="B35">
        <v>744000</v>
      </c>
      <c r="C35">
        <v>412958.10052330629</v>
      </c>
      <c r="D35">
        <v>823000</v>
      </c>
      <c r="E35">
        <v>495549.7206279675</v>
      </c>
      <c r="G35">
        <v>744000</v>
      </c>
      <c r="H35">
        <v>206587.11199167412</v>
      </c>
      <c r="I35">
        <v>823000</v>
      </c>
      <c r="J35">
        <v>217904.53439000895</v>
      </c>
      <c r="M35">
        <v>5590</v>
      </c>
      <c r="N35">
        <v>3131.8619661031212</v>
      </c>
      <c r="U35">
        <v>4670</v>
      </c>
      <c r="V35">
        <v>4467.6571428571424</v>
      </c>
      <c r="AB35">
        <v>2791.6484569951931</v>
      </c>
      <c r="AC35">
        <v>658.28571428571468</v>
      </c>
      <c r="AJ35">
        <v>2865.7408200187183</v>
      </c>
      <c r="AK35">
        <v>1773.7142857142856</v>
      </c>
    </row>
    <row r="36" spans="1:37" x14ac:dyDescent="0.25">
      <c r="A36">
        <v>3300</v>
      </c>
      <c r="B36">
        <v>744000</v>
      </c>
      <c r="C36">
        <v>406958.10052330629</v>
      </c>
      <c r="D36">
        <v>823000</v>
      </c>
      <c r="E36">
        <v>488349.7206279675</v>
      </c>
      <c r="G36">
        <v>744000</v>
      </c>
      <c r="H36">
        <v>200587.11199167412</v>
      </c>
      <c r="I36">
        <v>823000</v>
      </c>
      <c r="J36">
        <v>210704.53439000895</v>
      </c>
      <c r="M36">
        <v>5590</v>
      </c>
      <c r="N36">
        <v>3092.8456986543961</v>
      </c>
      <c r="U36">
        <v>4670</v>
      </c>
      <c r="V36">
        <v>4469.7714285714292</v>
      </c>
      <c r="AB36">
        <v>2795.5152763505853</v>
      </c>
      <c r="AC36">
        <v>678.85714285714334</v>
      </c>
      <c r="AJ36">
        <v>2868.7523500030998</v>
      </c>
      <c r="AK36">
        <v>1829.1428571428571</v>
      </c>
    </row>
    <row r="37" spans="1:37" x14ac:dyDescent="0.25">
      <c r="A37">
        <v>3400</v>
      </c>
      <c r="B37">
        <v>744000</v>
      </c>
      <c r="C37">
        <v>400958.10052330629</v>
      </c>
      <c r="D37">
        <v>823000</v>
      </c>
      <c r="E37">
        <v>481149.7206279675</v>
      </c>
      <c r="G37">
        <v>744000</v>
      </c>
      <c r="H37">
        <v>194587.11199167412</v>
      </c>
      <c r="I37">
        <v>823000</v>
      </c>
      <c r="J37">
        <v>203504.53439000895</v>
      </c>
      <c r="M37">
        <v>5590</v>
      </c>
      <c r="N37">
        <v>3053.8294312056714</v>
      </c>
      <c r="U37">
        <v>4670</v>
      </c>
      <c r="V37">
        <v>4471.8857142857141</v>
      </c>
      <c r="AB37">
        <v>2799.340571746473</v>
      </c>
      <c r="AC37">
        <v>699.42857142857179</v>
      </c>
      <c r="AJ37">
        <v>2871.7255996825829</v>
      </c>
      <c r="AK37">
        <v>1884.5714285714284</v>
      </c>
    </row>
    <row r="38" spans="1:37" x14ac:dyDescent="0.25">
      <c r="A38">
        <v>3500</v>
      </c>
      <c r="B38">
        <v>744000</v>
      </c>
      <c r="C38">
        <v>394958.10052330629</v>
      </c>
      <c r="D38">
        <v>823000</v>
      </c>
      <c r="E38">
        <v>473949.7206279675</v>
      </c>
      <c r="G38">
        <v>744000</v>
      </c>
      <c r="H38">
        <v>188587.11199167412</v>
      </c>
      <c r="I38">
        <v>823000</v>
      </c>
      <c r="J38">
        <v>196304.53439000895</v>
      </c>
      <c r="M38">
        <v>5590</v>
      </c>
      <c r="N38">
        <v>3014.8131637569459</v>
      </c>
      <c r="U38">
        <v>4670</v>
      </c>
      <c r="V38">
        <v>4474.0000000000009</v>
      </c>
      <c r="AB38">
        <v>2803.1245244220627</v>
      </c>
      <c r="AC38">
        <v>720.00000000000023</v>
      </c>
      <c r="AJ38">
        <v>2874.6606855486662</v>
      </c>
      <c r="AK38">
        <v>1940</v>
      </c>
    </row>
    <row r="39" spans="1:37" x14ac:dyDescent="0.25">
      <c r="A39">
        <v>3600</v>
      </c>
      <c r="B39">
        <v>744000</v>
      </c>
      <c r="C39">
        <v>388958.10052330629</v>
      </c>
      <c r="D39">
        <v>823000</v>
      </c>
      <c r="E39">
        <v>466749.7206279675</v>
      </c>
      <c r="G39">
        <v>744000</v>
      </c>
      <c r="H39">
        <v>182587.11199167412</v>
      </c>
      <c r="I39">
        <v>823000</v>
      </c>
      <c r="J39">
        <v>189104.53439000895</v>
      </c>
      <c r="M39">
        <v>5590</v>
      </c>
      <c r="N39">
        <v>2975.7968963082203</v>
      </c>
      <c r="U39">
        <v>4670</v>
      </c>
      <c r="V39">
        <v>4476.1142857142859</v>
      </c>
      <c r="AB39">
        <v>2806.8673127869947</v>
      </c>
      <c r="AC39">
        <v>740.57142857142867</v>
      </c>
      <c r="AJ39">
        <v>2877.5577208001473</v>
      </c>
      <c r="AK39">
        <v>1995.4285714285716</v>
      </c>
    </row>
    <row r="40" spans="1:37" x14ac:dyDescent="0.25">
      <c r="A40">
        <v>3700</v>
      </c>
      <c r="B40">
        <v>744000</v>
      </c>
      <c r="C40">
        <v>382958.10052330629</v>
      </c>
      <c r="D40">
        <v>823000</v>
      </c>
      <c r="E40">
        <v>459549.7206279675</v>
      </c>
      <c r="G40">
        <v>744000</v>
      </c>
      <c r="H40">
        <v>176587.11199167412</v>
      </c>
      <c r="I40">
        <v>823000</v>
      </c>
      <c r="J40">
        <v>181904.53439000895</v>
      </c>
      <c r="M40">
        <v>5590</v>
      </c>
      <c r="N40">
        <v>2936.7806288594952</v>
      </c>
      <c r="U40">
        <v>4670</v>
      </c>
      <c r="V40">
        <v>4478.2285714285717</v>
      </c>
      <c r="AB40">
        <v>2810.5691124078544</v>
      </c>
      <c r="AC40">
        <v>761.14285714285711</v>
      </c>
      <c r="AJ40">
        <v>2880.4168153110295</v>
      </c>
      <c r="AK40">
        <v>2050.8571428571431</v>
      </c>
    </row>
    <row r="41" spans="1:37" x14ac:dyDescent="0.25">
      <c r="A41">
        <v>3800</v>
      </c>
      <c r="B41">
        <v>744000</v>
      </c>
      <c r="C41">
        <v>376958.10052330629</v>
      </c>
      <c r="D41">
        <v>823000</v>
      </c>
      <c r="E41">
        <v>452349.7206279675</v>
      </c>
      <c r="G41">
        <v>744000</v>
      </c>
      <c r="H41">
        <v>170587.11199167412</v>
      </c>
      <c r="I41">
        <v>823000</v>
      </c>
      <c r="J41">
        <v>174704.53439000895</v>
      </c>
      <c r="M41">
        <v>5590</v>
      </c>
      <c r="N41">
        <v>2897.7643614107697</v>
      </c>
      <c r="U41">
        <v>4670</v>
      </c>
      <c r="V41">
        <v>4480.3428571428567</v>
      </c>
      <c r="AB41">
        <v>2814.2300959940148</v>
      </c>
      <c r="AC41">
        <v>781.71428571428635</v>
      </c>
      <c r="AJ41">
        <v>2883.2380755972931</v>
      </c>
      <c r="AK41">
        <v>2106.2857142857142</v>
      </c>
    </row>
    <row r="42" spans="1:37" x14ac:dyDescent="0.25">
      <c r="A42">
        <v>3900</v>
      </c>
      <c r="B42">
        <v>744000</v>
      </c>
      <c r="C42">
        <v>370958.10052330629</v>
      </c>
      <c r="D42">
        <v>823000</v>
      </c>
      <c r="E42">
        <v>445149.7206279675</v>
      </c>
      <c r="G42">
        <v>744000</v>
      </c>
      <c r="H42">
        <v>164587.11199167412</v>
      </c>
      <c r="I42">
        <v>823000</v>
      </c>
      <c r="J42">
        <v>167504.53439000895</v>
      </c>
      <c r="M42">
        <v>5590</v>
      </c>
      <c r="N42">
        <v>2858.7480939620441</v>
      </c>
      <c r="U42">
        <v>4670</v>
      </c>
      <c r="V42">
        <v>4482.4571428571435</v>
      </c>
      <c r="AB42">
        <v>2817.8504333827727</v>
      </c>
      <c r="AC42">
        <v>802.28571428571479</v>
      </c>
      <c r="AJ42">
        <v>2886.0216047825111</v>
      </c>
      <c r="AK42">
        <v>2161.7142857142858</v>
      </c>
    </row>
    <row r="43" spans="1:37" x14ac:dyDescent="0.25">
      <c r="A43">
        <v>4000</v>
      </c>
      <c r="B43">
        <v>744000</v>
      </c>
      <c r="C43">
        <v>364958.10052330629</v>
      </c>
      <c r="D43">
        <v>823000</v>
      </c>
      <c r="E43">
        <v>437949.7206279675</v>
      </c>
      <c r="G43">
        <v>744000</v>
      </c>
      <c r="H43">
        <v>158587.11199167412</v>
      </c>
      <c r="I43">
        <v>823000</v>
      </c>
      <c r="J43">
        <v>160304.53439000895</v>
      </c>
      <c r="M43">
        <v>5590</v>
      </c>
      <c r="N43">
        <v>2819.731826513319</v>
      </c>
      <c r="U43">
        <v>4670</v>
      </c>
      <c r="V43">
        <v>4484.5714285714284</v>
      </c>
      <c r="AB43">
        <v>2821.4302915237727</v>
      </c>
      <c r="AC43">
        <v>822.85714285714323</v>
      </c>
      <c r="AJ43">
        <v>2888.7675025622589</v>
      </c>
      <c r="AK43">
        <v>2217.1428571428573</v>
      </c>
    </row>
    <row r="44" spans="1:37" x14ac:dyDescent="0.25">
      <c r="A44">
        <v>4100</v>
      </c>
      <c r="B44">
        <v>744000</v>
      </c>
      <c r="C44">
        <v>358958.10052330629</v>
      </c>
      <c r="D44">
        <v>823000</v>
      </c>
      <c r="E44">
        <v>430749.7206279675</v>
      </c>
      <c r="G44">
        <v>744000</v>
      </c>
      <c r="H44">
        <v>152587.11199167412</v>
      </c>
      <c r="I44">
        <v>823000</v>
      </c>
      <c r="J44">
        <v>153104.53439000895</v>
      </c>
      <c r="M44">
        <v>5590</v>
      </c>
      <c r="N44">
        <v>2780.7155590645939</v>
      </c>
      <c r="U44">
        <v>4670</v>
      </c>
      <c r="V44">
        <v>4486.6857142857152</v>
      </c>
      <c r="AB44">
        <v>2824.9698344626945</v>
      </c>
      <c r="AC44">
        <v>843.42857142857167</v>
      </c>
      <c r="AJ44">
        <v>2891.4758651673196</v>
      </c>
      <c r="AK44">
        <v>2272.5714285714284</v>
      </c>
    </row>
    <row r="45" spans="1:37" x14ac:dyDescent="0.25">
      <c r="A45">
        <v>4200</v>
      </c>
      <c r="B45">
        <v>744000</v>
      </c>
      <c r="C45">
        <v>352958.10052330629</v>
      </c>
      <c r="D45">
        <v>823000</v>
      </c>
      <c r="E45">
        <v>423549.7206279675</v>
      </c>
      <c r="G45">
        <v>744000</v>
      </c>
      <c r="H45">
        <v>146587.11199167412</v>
      </c>
      <c r="I45">
        <v>823000</v>
      </c>
      <c r="J45">
        <v>145904.53439000895</v>
      </c>
      <c r="M45">
        <v>5590</v>
      </c>
      <c r="N45">
        <v>2741.6992916158688</v>
      </c>
      <c r="U45">
        <v>4670</v>
      </c>
      <c r="V45">
        <v>4488.8</v>
      </c>
      <c r="AB45">
        <v>2828.4692233242158</v>
      </c>
      <c r="AC45">
        <v>864.00000000000057</v>
      </c>
      <c r="AJ45">
        <v>2894.1467853256154</v>
      </c>
      <c r="AK45">
        <v>2328</v>
      </c>
    </row>
    <row r="46" spans="1:37" x14ac:dyDescent="0.25">
      <c r="A46">
        <v>4300</v>
      </c>
      <c r="B46">
        <v>744000</v>
      </c>
      <c r="C46">
        <v>346958.10052330629</v>
      </c>
      <c r="D46">
        <v>823000</v>
      </c>
      <c r="E46">
        <v>416349.7206279675</v>
      </c>
      <c r="G46">
        <v>744000</v>
      </c>
      <c r="H46">
        <v>140587.11199167412</v>
      </c>
      <c r="I46">
        <v>823000</v>
      </c>
      <c r="J46">
        <v>138704.53439000895</v>
      </c>
      <c r="M46">
        <v>5590</v>
      </c>
      <c r="N46">
        <v>2702.6830241671432</v>
      </c>
      <c r="U46">
        <v>4670</v>
      </c>
      <c r="V46">
        <v>4490.9142857142851</v>
      </c>
      <c r="AB46">
        <v>2831.9286162941944</v>
      </c>
      <c r="AC46">
        <v>884.57142857142901</v>
      </c>
      <c r="AJ46">
        <v>2896.7803522228432</v>
      </c>
      <c r="AK46">
        <v>2383.4285714285711</v>
      </c>
    </row>
    <row r="47" spans="1:37" x14ac:dyDescent="0.25">
      <c r="A47">
        <v>4400</v>
      </c>
      <c r="B47">
        <v>744000</v>
      </c>
      <c r="C47">
        <v>340958.10052330629</v>
      </c>
      <c r="D47">
        <v>823000</v>
      </c>
      <c r="E47">
        <v>409149.7206279675</v>
      </c>
      <c r="G47">
        <v>744000</v>
      </c>
      <c r="H47">
        <v>134587.11199167412</v>
      </c>
      <c r="I47">
        <v>823000</v>
      </c>
      <c r="J47">
        <v>131504.53439000895</v>
      </c>
      <c r="M47">
        <v>5590</v>
      </c>
      <c r="N47">
        <v>2663.6667567184181</v>
      </c>
      <c r="U47">
        <v>4670</v>
      </c>
      <c r="V47">
        <v>4493.0285714285719</v>
      </c>
      <c r="AB47">
        <v>2835.3481686010896</v>
      </c>
      <c r="AC47">
        <v>905.14285714285745</v>
      </c>
      <c r="AJ47">
        <v>2899.3766514617919</v>
      </c>
      <c r="AK47">
        <v>2438.8571428571427</v>
      </c>
    </row>
    <row r="48" spans="1:37" x14ac:dyDescent="0.25">
      <c r="A48">
        <v>4500</v>
      </c>
      <c r="B48">
        <v>744000</v>
      </c>
      <c r="C48">
        <v>334958.10052330629</v>
      </c>
      <c r="D48">
        <v>823000</v>
      </c>
      <c r="E48">
        <v>401949.7206279675</v>
      </c>
      <c r="G48">
        <v>744000</v>
      </c>
      <c r="H48">
        <v>128587.11199167412</v>
      </c>
      <c r="I48">
        <v>823000</v>
      </c>
      <c r="J48">
        <v>124304.53439000894</v>
      </c>
      <c r="M48">
        <v>5590</v>
      </c>
      <c r="N48">
        <v>2624.650489269693</v>
      </c>
      <c r="U48">
        <v>4670</v>
      </c>
      <c r="V48">
        <v>4495.1428571428569</v>
      </c>
      <c r="AB48">
        <v>2838.7280324965777</v>
      </c>
      <c r="AC48">
        <v>925.71428571428589</v>
      </c>
      <c r="AJ48">
        <v>2901.9357650202687</v>
      </c>
      <c r="AK48">
        <v>2494.2857142857142</v>
      </c>
    </row>
    <row r="49" spans="1:37" x14ac:dyDescent="0.25">
      <c r="A49">
        <v>4600</v>
      </c>
      <c r="B49">
        <v>744000</v>
      </c>
      <c r="C49">
        <v>328958.10052330629</v>
      </c>
      <c r="D49">
        <v>823000</v>
      </c>
      <c r="E49">
        <v>394749.7206279675</v>
      </c>
      <c r="G49">
        <v>744000</v>
      </c>
      <c r="H49">
        <v>122587.11199167412</v>
      </c>
      <c r="I49">
        <v>823000</v>
      </c>
      <c r="J49">
        <v>117104.53439000894</v>
      </c>
      <c r="M49">
        <v>5590</v>
      </c>
      <c r="N49">
        <v>2585.6342218209675</v>
      </c>
      <c r="U49">
        <v>4670</v>
      </c>
      <c r="V49">
        <v>4497.2571428571428</v>
      </c>
      <c r="AB49">
        <v>2842.0683572353737</v>
      </c>
      <c r="AC49">
        <v>946.2857142857149</v>
      </c>
      <c r="AJ49">
        <v>2904.4577712076339</v>
      </c>
      <c r="AK49">
        <v>2549.7142857142858</v>
      </c>
    </row>
    <row r="50" spans="1:37" x14ac:dyDescent="0.25">
      <c r="A50">
        <v>4700</v>
      </c>
      <c r="B50">
        <v>744000</v>
      </c>
      <c r="C50">
        <v>322958.10052330629</v>
      </c>
      <c r="D50">
        <v>823000</v>
      </c>
      <c r="E50">
        <v>387549.7206279675</v>
      </c>
      <c r="G50">
        <v>744000</v>
      </c>
      <c r="H50">
        <v>116587.11199167412</v>
      </c>
      <c r="I50">
        <v>823000</v>
      </c>
      <c r="J50">
        <v>109904.53439000894</v>
      </c>
      <c r="M50">
        <v>5590</v>
      </c>
      <c r="N50">
        <v>2546.6179543722419</v>
      </c>
      <c r="U50">
        <v>4670</v>
      </c>
      <c r="V50">
        <v>4499.3714285714277</v>
      </c>
      <c r="AB50">
        <v>2845.3692890541997</v>
      </c>
      <c r="AC50">
        <v>966.85714285714334</v>
      </c>
      <c r="AJ50">
        <v>2906.9427446198729</v>
      </c>
      <c r="AK50">
        <v>2605.1428571428573</v>
      </c>
    </row>
    <row r="51" spans="1:37" x14ac:dyDescent="0.25">
      <c r="A51">
        <v>4800</v>
      </c>
      <c r="B51">
        <v>744000</v>
      </c>
      <c r="C51">
        <v>316958.10052330629</v>
      </c>
      <c r="D51">
        <v>823000</v>
      </c>
      <c r="E51">
        <v>380349.7206279675</v>
      </c>
      <c r="G51">
        <v>744000</v>
      </c>
      <c r="H51">
        <v>110587.11199167412</v>
      </c>
      <c r="I51">
        <v>823000</v>
      </c>
      <c r="J51">
        <v>102704.53439000894</v>
      </c>
      <c r="M51">
        <v>5590</v>
      </c>
      <c r="N51">
        <v>2507.6016869235168</v>
      </c>
      <c r="U51">
        <v>4670</v>
      </c>
      <c r="V51">
        <v>4501.4857142857145</v>
      </c>
      <c r="AB51">
        <v>2848.6309711499275</v>
      </c>
      <c r="AC51">
        <v>987.42857142857179</v>
      </c>
      <c r="AJ51">
        <v>2909.3907560931734</v>
      </c>
      <c r="AK51">
        <v>2660.5714285714284</v>
      </c>
    </row>
    <row r="52" spans="1:37" x14ac:dyDescent="0.25">
      <c r="M52">
        <v>5590</v>
      </c>
      <c r="N52">
        <v>2468.5854194747917</v>
      </c>
    </row>
    <row r="53" spans="1:37" x14ac:dyDescent="0.25">
      <c r="M53">
        <v>5590</v>
      </c>
      <c r="N53">
        <v>2429.5691520260666</v>
      </c>
    </row>
    <row r="54" spans="1:37" x14ac:dyDescent="0.25">
      <c r="M54">
        <v>5590</v>
      </c>
      <c r="N54">
        <v>2390.552884577341</v>
      </c>
    </row>
    <row r="55" spans="1:37" x14ac:dyDescent="0.25">
      <c r="M55">
        <v>5590</v>
      </c>
      <c r="N55">
        <v>2351.5366171286159</v>
      </c>
    </row>
    <row r="56" spans="1:37" x14ac:dyDescent="0.25">
      <c r="M56">
        <v>5590</v>
      </c>
      <c r="N56">
        <v>2312.5203496798904</v>
      </c>
    </row>
    <row r="57" spans="1:37" x14ac:dyDescent="0.25">
      <c r="M57">
        <v>5590</v>
      </c>
      <c r="N57">
        <v>2273.5040822311653</v>
      </c>
    </row>
    <row r="58" spans="1:37" x14ac:dyDescent="0.25">
      <c r="M58">
        <v>5590</v>
      </c>
      <c r="N58">
        <v>2234.4878147824397</v>
      </c>
    </row>
    <row r="59" spans="1:37" x14ac:dyDescent="0.25">
      <c r="M59">
        <v>5590</v>
      </c>
      <c r="N59">
        <v>2195.4715473337142</v>
      </c>
    </row>
    <row r="60" spans="1:37" x14ac:dyDescent="0.25">
      <c r="M60">
        <v>5590</v>
      </c>
      <c r="N60">
        <v>2156.4552798849895</v>
      </c>
    </row>
    <row r="61" spans="1:37" x14ac:dyDescent="0.25">
      <c r="M61">
        <v>5590</v>
      </c>
      <c r="N61">
        <v>2117.439012436264</v>
      </c>
    </row>
    <row r="62" spans="1:37" x14ac:dyDescent="0.25">
      <c r="M62">
        <v>5590</v>
      </c>
      <c r="N62">
        <v>2078.4227449875389</v>
      </c>
    </row>
    <row r="63" spans="1:37" x14ac:dyDescent="0.25">
      <c r="M63">
        <v>5590</v>
      </c>
      <c r="N63">
        <v>2039.4064775388133</v>
      </c>
    </row>
    <row r="64" spans="1:37" x14ac:dyDescent="0.25">
      <c r="M64">
        <v>5590</v>
      </c>
      <c r="N64">
        <v>2000.3902100900884</v>
      </c>
    </row>
    <row r="65" spans="13:14" x14ac:dyDescent="0.25">
      <c r="M65">
        <v>5590</v>
      </c>
      <c r="N65">
        <v>1961.3739426413629</v>
      </c>
    </row>
    <row r="66" spans="13:14" x14ac:dyDescent="0.25">
      <c r="M66">
        <v>5590</v>
      </c>
      <c r="N66">
        <v>1922.3576751926378</v>
      </c>
    </row>
    <row r="67" spans="13:14" x14ac:dyDescent="0.25">
      <c r="M67">
        <v>5590</v>
      </c>
      <c r="N67">
        <v>1883.3414077439122</v>
      </c>
    </row>
    <row r="68" spans="13:14" x14ac:dyDescent="0.25">
      <c r="M68">
        <v>5590</v>
      </c>
      <c r="N68">
        <v>1844.3251402951867</v>
      </c>
    </row>
    <row r="69" spans="13:14" x14ac:dyDescent="0.25">
      <c r="M69">
        <v>5590</v>
      </c>
      <c r="N69">
        <v>1805.3088728464618</v>
      </c>
    </row>
    <row r="70" spans="13:14" x14ac:dyDescent="0.25">
      <c r="M70">
        <v>5590</v>
      </c>
      <c r="N70">
        <v>1766.2926053977362</v>
      </c>
    </row>
    <row r="71" spans="13:14" x14ac:dyDescent="0.25">
      <c r="M71">
        <v>5590</v>
      </c>
      <c r="N71">
        <v>1727.2763379490111</v>
      </c>
    </row>
    <row r="72" spans="13:14" x14ac:dyDescent="0.25">
      <c r="M72">
        <v>5590</v>
      </c>
      <c r="N72">
        <v>1688.2600705002858</v>
      </c>
    </row>
    <row r="73" spans="13:14" x14ac:dyDescent="0.25">
      <c r="M73">
        <v>5590</v>
      </c>
      <c r="N73">
        <v>1649.2438030515607</v>
      </c>
    </row>
    <row r="74" spans="13:14" x14ac:dyDescent="0.25">
      <c r="M74">
        <v>6890</v>
      </c>
      <c r="N74">
        <v>1610.2275356028351</v>
      </c>
    </row>
    <row r="75" spans="13:14" x14ac:dyDescent="0.25">
      <c r="M75">
        <v>6890</v>
      </c>
      <c r="N75">
        <v>1571.2112681541103</v>
      </c>
    </row>
    <row r="76" spans="13:14" x14ac:dyDescent="0.25">
      <c r="M76">
        <v>6890</v>
      </c>
      <c r="N76">
        <v>1532.1950007053847</v>
      </c>
    </row>
    <row r="77" spans="13:14" x14ac:dyDescent="0.25">
      <c r="M77">
        <v>6890</v>
      </c>
      <c r="N77">
        <v>1493.1787332566596</v>
      </c>
    </row>
    <row r="78" spans="13:14" x14ac:dyDescent="0.25">
      <c r="M78">
        <v>6890</v>
      </c>
      <c r="N78">
        <v>1454.162465807934</v>
      </c>
    </row>
    <row r="79" spans="13:14" x14ac:dyDescent="0.25">
      <c r="M79">
        <v>6890</v>
      </c>
      <c r="N79">
        <v>1415.1461983592087</v>
      </c>
    </row>
    <row r="80" spans="13:14" x14ac:dyDescent="0.25">
      <c r="M80">
        <v>6890</v>
      </c>
      <c r="N80">
        <v>1376.1299309104836</v>
      </c>
    </row>
    <row r="81" spans="13:14" x14ac:dyDescent="0.25">
      <c r="M81">
        <v>6890</v>
      </c>
      <c r="N81">
        <v>1337.1136634617581</v>
      </c>
    </row>
    <row r="82" spans="13:14" x14ac:dyDescent="0.25">
      <c r="M82">
        <v>6890</v>
      </c>
      <c r="N82">
        <v>1298.0973960130329</v>
      </c>
    </row>
    <row r="83" spans="13:14" x14ac:dyDescent="0.25">
      <c r="M83">
        <v>6890</v>
      </c>
      <c r="N83">
        <v>1259.0811285643076</v>
      </c>
    </row>
    <row r="84" spans="13:14" x14ac:dyDescent="0.25">
      <c r="M84">
        <v>6890</v>
      </c>
      <c r="N84">
        <v>1220.0648611155825</v>
      </c>
    </row>
    <row r="85" spans="13:14" x14ac:dyDescent="0.25">
      <c r="M85">
        <v>6890</v>
      </c>
      <c r="N85">
        <v>1181.048593666857</v>
      </c>
    </row>
    <row r="86" spans="13:14" x14ac:dyDescent="0.25">
      <c r="M86">
        <v>6890</v>
      </c>
      <c r="N86">
        <v>1142.0323262181321</v>
      </c>
    </row>
    <row r="87" spans="13:14" x14ac:dyDescent="0.25">
      <c r="M87">
        <v>6890</v>
      </c>
      <c r="N87">
        <v>1103.0160587694065</v>
      </c>
    </row>
    <row r="88" spans="13:14" x14ac:dyDescent="0.25">
      <c r="M88">
        <v>7330</v>
      </c>
      <c r="N88">
        <v>6428.857142857144</v>
      </c>
    </row>
    <row r="89" spans="13:14" x14ac:dyDescent="0.25">
      <c r="M89">
        <v>7330</v>
      </c>
      <c r="N89">
        <v>6433.3142857142857</v>
      </c>
    </row>
    <row r="90" spans="13:14" x14ac:dyDescent="0.25">
      <c r="M90">
        <v>7330</v>
      </c>
      <c r="N90">
        <v>6437.7714285714283</v>
      </c>
    </row>
    <row r="91" spans="13:14" x14ac:dyDescent="0.25">
      <c r="M91">
        <v>7330</v>
      </c>
      <c r="N91">
        <v>6442.2285714285708</v>
      </c>
    </row>
    <row r="92" spans="13:14" x14ac:dyDescent="0.25">
      <c r="M92">
        <v>7330</v>
      </c>
      <c r="N92">
        <v>6446.6857142857143</v>
      </c>
    </row>
    <row r="93" spans="13:14" x14ac:dyDescent="0.25">
      <c r="M93">
        <v>7330</v>
      </c>
      <c r="N93">
        <v>6451.1428571428578</v>
      </c>
    </row>
    <row r="94" spans="13:14" x14ac:dyDescent="0.25">
      <c r="M94">
        <v>7330</v>
      </c>
      <c r="N94">
        <v>6455.5999999999995</v>
      </c>
    </row>
    <row r="95" spans="13:14" x14ac:dyDescent="0.25">
      <c r="M95">
        <v>7330</v>
      </c>
      <c r="N95">
        <v>6460.057142857142</v>
      </c>
    </row>
    <row r="96" spans="13:14" x14ac:dyDescent="0.25">
      <c r="M96">
        <v>7330</v>
      </c>
      <c r="N96">
        <v>6464.5142857142873</v>
      </c>
    </row>
    <row r="97" spans="13:14" x14ac:dyDescent="0.25">
      <c r="M97">
        <v>7330</v>
      </c>
      <c r="N97">
        <v>6468.971428571429</v>
      </c>
    </row>
    <row r="98" spans="13:14" x14ac:dyDescent="0.25">
      <c r="M98">
        <v>7330</v>
      </c>
      <c r="N98">
        <v>6473.4285714285716</v>
      </c>
    </row>
    <row r="99" spans="13:14" x14ac:dyDescent="0.25">
      <c r="M99">
        <v>7330</v>
      </c>
      <c r="N99">
        <v>6477.8857142857141</v>
      </c>
    </row>
    <row r="100" spans="13:14" x14ac:dyDescent="0.25">
      <c r="M100">
        <v>7330</v>
      </c>
      <c r="N100">
        <v>6482.3428571428585</v>
      </c>
    </row>
    <row r="101" spans="13:14" x14ac:dyDescent="0.25">
      <c r="M101">
        <v>7330</v>
      </c>
      <c r="N101">
        <v>6486.8</v>
      </c>
    </row>
    <row r="102" spans="13:14" x14ac:dyDescent="0.25">
      <c r="M102">
        <v>7330</v>
      </c>
      <c r="N102">
        <v>6491.2571428571428</v>
      </c>
    </row>
    <row r="103" spans="13:14" x14ac:dyDescent="0.25">
      <c r="M103">
        <v>7330</v>
      </c>
      <c r="N103">
        <v>6495.7142857142853</v>
      </c>
    </row>
    <row r="104" spans="13:14" x14ac:dyDescent="0.25">
      <c r="M104">
        <v>7330</v>
      </c>
      <c r="N104">
        <v>6500.171428571427</v>
      </c>
    </row>
    <row r="105" spans="13:14" x14ac:dyDescent="0.25">
      <c r="M105">
        <v>7330</v>
      </c>
      <c r="N105">
        <v>6504.6285714285723</v>
      </c>
    </row>
    <row r="106" spans="13:14" x14ac:dyDescent="0.25">
      <c r="M106">
        <v>7330</v>
      </c>
      <c r="N106">
        <v>6509.0857142857149</v>
      </c>
    </row>
    <row r="107" spans="13:14" x14ac:dyDescent="0.25">
      <c r="M107">
        <v>7330</v>
      </c>
      <c r="N107">
        <v>6513.5428571428574</v>
      </c>
    </row>
    <row r="108" spans="13:14" x14ac:dyDescent="0.25">
      <c r="M108">
        <v>7330</v>
      </c>
      <c r="N108">
        <v>6517.9999999999991</v>
      </c>
    </row>
    <row r="109" spans="13:14" x14ac:dyDescent="0.25">
      <c r="M109">
        <v>7330</v>
      </c>
      <c r="N109">
        <v>6522.4571428571435</v>
      </c>
    </row>
    <row r="110" spans="13:14" x14ac:dyDescent="0.25">
      <c r="M110">
        <v>7330</v>
      </c>
      <c r="N110">
        <v>6526.9142857142861</v>
      </c>
    </row>
    <row r="111" spans="13:14" x14ac:dyDescent="0.25">
      <c r="M111">
        <v>7330</v>
      </c>
      <c r="N111">
        <v>6531.3714285714286</v>
      </c>
    </row>
  </sheetData>
  <mergeCells count="4">
    <mergeCell ref="G1:I1"/>
    <mergeCell ref="M1:O1"/>
    <mergeCell ref="AB1:AD1"/>
    <mergeCell ref="AJ1:AO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111"/>
  <sheetViews>
    <sheetView topLeftCell="AC1" zoomScaleNormal="100" workbookViewId="0">
      <selection activeCell="AI1" sqref="AI1"/>
    </sheetView>
  </sheetViews>
  <sheetFormatPr defaultRowHeight="15.75" x14ac:dyDescent="0.25"/>
  <cols>
    <col min="2" max="2" width="16.625" bestFit="1" customWidth="1"/>
    <col min="3" max="3" width="13.5" customWidth="1"/>
    <col min="4" max="5" width="16.625" bestFit="1" customWidth="1"/>
    <col min="6" max="6" width="16.625" customWidth="1"/>
    <col min="7" max="7" width="10.75" bestFit="1" customWidth="1"/>
    <col min="8" max="8" width="16.625" bestFit="1" customWidth="1"/>
    <col min="9" max="10" width="9.375" bestFit="1" customWidth="1"/>
    <col min="11" max="12" width="9.375" customWidth="1"/>
    <col min="13" max="13" width="12.375" bestFit="1" customWidth="1"/>
  </cols>
  <sheetData>
    <row r="1" spans="1:36" x14ac:dyDescent="0.25">
      <c r="B1" s="199" t="s">
        <v>275</v>
      </c>
      <c r="C1" s="3"/>
      <c r="D1" s="3"/>
      <c r="E1" s="3"/>
      <c r="F1" s="3"/>
      <c r="G1" s="200" t="s">
        <v>281</v>
      </c>
      <c r="M1" s="199" t="s">
        <v>282</v>
      </c>
      <c r="T1" s="199" t="s">
        <v>283</v>
      </c>
      <c r="AB1" s="199" t="s">
        <v>284</v>
      </c>
      <c r="AI1" s="199" t="s">
        <v>285</v>
      </c>
    </row>
    <row r="2" spans="1:36" x14ac:dyDescent="0.25">
      <c r="B2" s="133" t="s">
        <v>260</v>
      </c>
      <c r="C2" s="133" t="s">
        <v>244</v>
      </c>
      <c r="D2" t="s">
        <v>263</v>
      </c>
      <c r="E2" t="s">
        <v>243</v>
      </c>
      <c r="G2" t="s">
        <v>260</v>
      </c>
      <c r="H2" t="s">
        <v>244</v>
      </c>
      <c r="I2" t="s">
        <v>263</v>
      </c>
      <c r="J2" t="s">
        <v>243</v>
      </c>
      <c r="M2" t="s">
        <v>261</v>
      </c>
      <c r="N2" t="s">
        <v>163</v>
      </c>
      <c r="T2" t="s">
        <v>261</v>
      </c>
      <c r="U2" t="s">
        <v>163</v>
      </c>
      <c r="AB2" t="s">
        <v>262</v>
      </c>
      <c r="AC2" t="s">
        <v>164</v>
      </c>
      <c r="AI2" t="s">
        <v>262</v>
      </c>
      <c r="AJ2" t="s">
        <v>164</v>
      </c>
    </row>
    <row r="3" spans="1:36" x14ac:dyDescent="0.25">
      <c r="A3">
        <v>0</v>
      </c>
      <c r="B3">
        <v>602000</v>
      </c>
      <c r="C3">
        <v>539738.99359432096</v>
      </c>
      <c r="D3">
        <v>659000</v>
      </c>
      <c r="E3">
        <v>647686.79231318529</v>
      </c>
      <c r="G3">
        <v>602000</v>
      </c>
      <c r="H3">
        <v>469807.08346382214</v>
      </c>
      <c r="I3">
        <v>659000</v>
      </c>
      <c r="J3">
        <v>533768.50015658652</v>
      </c>
      <c r="M3">
        <v>6020</v>
      </c>
      <c r="N3">
        <v>4380.3825244623313</v>
      </c>
      <c r="T3">
        <v>6020</v>
      </c>
      <c r="U3">
        <v>4400</v>
      </c>
      <c r="AB3">
        <v>3309.7480440475188</v>
      </c>
      <c r="AC3">
        <v>0</v>
      </c>
      <c r="AI3">
        <v>3152.1688957083179</v>
      </c>
      <c r="AJ3">
        <v>0</v>
      </c>
    </row>
    <row r="4" spans="1:36" x14ac:dyDescent="0.25">
      <c r="A4">
        <v>100</v>
      </c>
      <c r="B4">
        <v>602000</v>
      </c>
      <c r="C4">
        <v>535778.99359432096</v>
      </c>
      <c r="D4">
        <v>659000</v>
      </c>
      <c r="E4">
        <v>642934.79231318529</v>
      </c>
      <c r="G4">
        <v>602000</v>
      </c>
      <c r="H4">
        <v>465847.08346382214</v>
      </c>
      <c r="I4">
        <v>659000</v>
      </c>
      <c r="J4">
        <v>529016.50015658652</v>
      </c>
      <c r="M4">
        <v>6020</v>
      </c>
      <c r="N4">
        <v>4341.3662570136057</v>
      </c>
      <c r="T4">
        <v>6020</v>
      </c>
      <c r="U4">
        <v>4416.971428571429</v>
      </c>
      <c r="AB4">
        <v>3314.582584762235</v>
      </c>
      <c r="AC4">
        <v>55.428571428571423</v>
      </c>
      <c r="AI4">
        <v>3155.6216195268657</v>
      </c>
      <c r="AJ4">
        <v>7.8285714285714203</v>
      </c>
    </row>
    <row r="5" spans="1:36" x14ac:dyDescent="0.25">
      <c r="A5">
        <v>200</v>
      </c>
      <c r="B5">
        <v>602000</v>
      </c>
      <c r="C5">
        <v>531818.99359432096</v>
      </c>
      <c r="D5">
        <v>659000</v>
      </c>
      <c r="E5">
        <v>638182.79231318529</v>
      </c>
      <c r="G5">
        <v>602000</v>
      </c>
      <c r="H5">
        <v>461887.08346382214</v>
      </c>
      <c r="I5">
        <v>659000</v>
      </c>
      <c r="J5">
        <v>524264.50015658658</v>
      </c>
      <c r="M5">
        <v>6020</v>
      </c>
      <c r="N5">
        <v>4302.3499895648811</v>
      </c>
      <c r="T5">
        <v>6020</v>
      </c>
      <c r="U5">
        <v>4433.9428571428571</v>
      </c>
      <c r="AB5">
        <v>3319.3756430569547</v>
      </c>
      <c r="AC5">
        <v>110.85714285714285</v>
      </c>
      <c r="AI5">
        <v>3159.018449638977</v>
      </c>
      <c r="AJ5">
        <v>15.657142857142841</v>
      </c>
    </row>
    <row r="6" spans="1:36" x14ac:dyDescent="0.25">
      <c r="A6">
        <v>300</v>
      </c>
      <c r="B6">
        <v>602000</v>
      </c>
      <c r="C6">
        <v>527858.99359432096</v>
      </c>
      <c r="D6">
        <v>659000</v>
      </c>
      <c r="E6">
        <v>633430.79231318529</v>
      </c>
      <c r="G6">
        <v>602000</v>
      </c>
      <c r="H6">
        <v>457927.08346382214</v>
      </c>
      <c r="I6">
        <v>659000</v>
      </c>
      <c r="J6">
        <v>519512.50015658658</v>
      </c>
      <c r="M6">
        <v>6020</v>
      </c>
      <c r="N6">
        <v>4263.3337221161555</v>
      </c>
      <c r="T6">
        <v>6020</v>
      </c>
      <c r="U6">
        <v>4450.9142857142851</v>
      </c>
      <c r="AB6">
        <v>3324.1274475970563</v>
      </c>
      <c r="AC6">
        <v>166.28571428571428</v>
      </c>
      <c r="AI6">
        <v>3162.3600375947794</v>
      </c>
      <c r="AJ6">
        <v>23.485714285714284</v>
      </c>
    </row>
    <row r="7" spans="1:36" x14ac:dyDescent="0.25">
      <c r="A7">
        <v>400</v>
      </c>
      <c r="B7">
        <v>602000</v>
      </c>
      <c r="C7">
        <v>523898.99359432101</v>
      </c>
      <c r="D7">
        <v>659000</v>
      </c>
      <c r="E7">
        <v>628678.79231318529</v>
      </c>
      <c r="G7">
        <v>602000</v>
      </c>
      <c r="H7">
        <v>453967.08346382214</v>
      </c>
      <c r="I7">
        <v>659000</v>
      </c>
      <c r="J7">
        <v>514760.50015658658</v>
      </c>
      <c r="M7">
        <v>6020</v>
      </c>
      <c r="N7">
        <v>4224.31745466743</v>
      </c>
      <c r="T7">
        <v>6020</v>
      </c>
      <c r="U7">
        <v>4467.885714285715</v>
      </c>
      <c r="AB7">
        <v>3328.8382252765396</v>
      </c>
      <c r="AC7">
        <v>221.71428571428569</v>
      </c>
      <c r="AI7">
        <v>3165.6470282804466</v>
      </c>
      <c r="AJ7">
        <v>31.314285714285681</v>
      </c>
    </row>
    <row r="8" spans="1:36" x14ac:dyDescent="0.25">
      <c r="A8">
        <v>500</v>
      </c>
      <c r="B8">
        <v>602000</v>
      </c>
      <c r="C8">
        <v>519938.99359432101</v>
      </c>
      <c r="D8">
        <v>659000</v>
      </c>
      <c r="E8">
        <v>623926.79231318529</v>
      </c>
      <c r="G8">
        <v>602000</v>
      </c>
      <c r="H8">
        <v>450007.08346382214</v>
      </c>
      <c r="I8">
        <v>659000</v>
      </c>
      <c r="J8">
        <v>510008.50015658658</v>
      </c>
      <c r="M8">
        <v>6020</v>
      </c>
      <c r="N8">
        <v>4185.3011872187044</v>
      </c>
      <c r="T8">
        <v>6020</v>
      </c>
      <c r="U8">
        <v>4484.8571428571431</v>
      </c>
      <c r="AB8">
        <v>3333.5082012191251</v>
      </c>
      <c r="AC8">
        <v>277.14285714285717</v>
      </c>
      <c r="AI8">
        <v>3168.8800600250511</v>
      </c>
      <c r="AJ8">
        <v>39.14285714285711</v>
      </c>
    </row>
    <row r="9" spans="1:36" x14ac:dyDescent="0.25">
      <c r="A9">
        <v>600</v>
      </c>
      <c r="B9">
        <v>555000</v>
      </c>
      <c r="C9">
        <v>508901.61725829978</v>
      </c>
      <c r="D9">
        <v>629000</v>
      </c>
      <c r="E9">
        <v>610681.94070995972</v>
      </c>
      <c r="G9">
        <v>555000</v>
      </c>
      <c r="H9">
        <v>445165.82181554986</v>
      </c>
      <c r="I9">
        <v>629000</v>
      </c>
      <c r="J9">
        <v>504198.98617865983</v>
      </c>
      <c r="M9">
        <v>5590</v>
      </c>
      <c r="N9">
        <v>4146.2849197699798</v>
      </c>
      <c r="T9">
        <v>5590</v>
      </c>
      <c r="U9">
        <v>4501.8285714285721</v>
      </c>
      <c r="AB9">
        <v>4218.4052754336435</v>
      </c>
      <c r="AC9">
        <v>332.57142857142856</v>
      </c>
      <c r="AI9">
        <v>3955.1929814939667</v>
      </c>
      <c r="AJ9">
        <v>46.971428571428568</v>
      </c>
    </row>
    <row r="10" spans="1:36" x14ac:dyDescent="0.25">
      <c r="A10">
        <v>700</v>
      </c>
      <c r="B10">
        <v>555000</v>
      </c>
      <c r="C10">
        <v>504446.61725829978</v>
      </c>
      <c r="D10">
        <v>629000</v>
      </c>
      <c r="E10">
        <v>605335.94070995972</v>
      </c>
      <c r="G10">
        <v>555000</v>
      </c>
      <c r="H10">
        <v>440710.82181554986</v>
      </c>
      <c r="I10">
        <v>629000</v>
      </c>
      <c r="J10">
        <v>498852.98617865983</v>
      </c>
      <c r="M10">
        <v>5590</v>
      </c>
      <c r="N10">
        <v>4107.2686523212542</v>
      </c>
      <c r="T10">
        <v>5590</v>
      </c>
      <c r="U10">
        <v>4518.8</v>
      </c>
      <c r="AB10">
        <v>4225.7016665937435</v>
      </c>
      <c r="AC10">
        <v>388</v>
      </c>
      <c r="AI10">
        <v>3965.1376285057968</v>
      </c>
      <c r="AJ10">
        <v>54.799999999999933</v>
      </c>
    </row>
    <row r="11" spans="1:36" x14ac:dyDescent="0.25">
      <c r="A11">
        <v>800</v>
      </c>
      <c r="B11">
        <v>555000</v>
      </c>
      <c r="C11">
        <v>499991.61725829978</v>
      </c>
      <c r="D11">
        <v>629000</v>
      </c>
      <c r="E11">
        <v>599989.94070995972</v>
      </c>
      <c r="G11">
        <v>555000</v>
      </c>
      <c r="H11">
        <v>436255.82181554986</v>
      </c>
      <c r="I11">
        <v>629000</v>
      </c>
      <c r="J11">
        <v>493506.98617865983</v>
      </c>
      <c r="M11">
        <v>5590</v>
      </c>
      <c r="N11">
        <v>4068.2523848725291</v>
      </c>
      <c r="T11">
        <v>5590</v>
      </c>
      <c r="U11">
        <v>4535.7714285714292</v>
      </c>
      <c r="AB11">
        <v>4232.9218313299198</v>
      </c>
      <c r="AC11">
        <v>443.42857142857139</v>
      </c>
      <c r="AI11">
        <v>3974.9843614215406</v>
      </c>
      <c r="AJ11">
        <v>62.628571428571362</v>
      </c>
    </row>
    <row r="12" spans="1:36" x14ac:dyDescent="0.25">
      <c r="A12">
        <v>900</v>
      </c>
      <c r="B12">
        <v>555000</v>
      </c>
      <c r="C12">
        <v>495536.61725829978</v>
      </c>
      <c r="D12">
        <v>629000</v>
      </c>
      <c r="E12">
        <v>594643.94070995972</v>
      </c>
      <c r="G12">
        <v>555000</v>
      </c>
      <c r="H12">
        <v>431800.82181554986</v>
      </c>
      <c r="I12">
        <v>629000</v>
      </c>
      <c r="J12">
        <v>488160.98617865983</v>
      </c>
      <c r="M12">
        <v>5590</v>
      </c>
      <c r="N12">
        <v>4029.2361174238035</v>
      </c>
      <c r="T12">
        <v>5590</v>
      </c>
      <c r="U12">
        <v>4552.7428571428582</v>
      </c>
      <c r="AB12">
        <v>4240.0663260108686</v>
      </c>
      <c r="AC12">
        <v>498.85714285714289</v>
      </c>
      <c r="AI12">
        <v>3984.7340558269457</v>
      </c>
      <c r="AJ12">
        <v>70.457142857142856</v>
      </c>
    </row>
    <row r="13" spans="1:36" x14ac:dyDescent="0.25">
      <c r="A13">
        <v>1000</v>
      </c>
      <c r="B13">
        <v>555000</v>
      </c>
      <c r="C13">
        <v>491081.61725829978</v>
      </c>
      <c r="D13">
        <v>629000</v>
      </c>
      <c r="E13">
        <v>589297.94070995972</v>
      </c>
      <c r="G13">
        <v>555000</v>
      </c>
      <c r="H13">
        <v>427345.82181554986</v>
      </c>
      <c r="I13">
        <v>629000</v>
      </c>
      <c r="J13">
        <v>482814.98617865983</v>
      </c>
      <c r="M13">
        <v>5590</v>
      </c>
      <c r="N13">
        <v>3990.2198499750784</v>
      </c>
      <c r="T13">
        <v>5590</v>
      </c>
      <c r="U13">
        <v>4569.7142857142853</v>
      </c>
      <c r="AB13">
        <v>4247.1356986372866</v>
      </c>
      <c r="AC13">
        <v>554.28571428571433</v>
      </c>
      <c r="AI13">
        <v>3994.3875742814344</v>
      </c>
      <c r="AJ13">
        <v>78.285714285714221</v>
      </c>
    </row>
    <row r="14" spans="1:36" x14ac:dyDescent="0.25">
      <c r="A14">
        <v>1100</v>
      </c>
      <c r="B14">
        <v>555000</v>
      </c>
      <c r="C14">
        <v>486626.61725829978</v>
      </c>
      <c r="D14">
        <v>629000</v>
      </c>
      <c r="E14">
        <v>583951.94070995972</v>
      </c>
      <c r="G14">
        <v>555000</v>
      </c>
      <c r="H14">
        <v>422890.82181554986</v>
      </c>
      <c r="I14">
        <v>629000</v>
      </c>
      <c r="J14">
        <v>477468.98617865983</v>
      </c>
      <c r="M14">
        <v>5590</v>
      </c>
      <c r="N14">
        <v>3951.2035825263529</v>
      </c>
      <c r="T14">
        <v>5590</v>
      </c>
      <c r="U14">
        <v>4586.6857142857143</v>
      </c>
      <c r="AB14">
        <v>4254.1304889344319</v>
      </c>
      <c r="AC14">
        <v>609.71428571428567</v>
      </c>
      <c r="AI14">
        <v>4003.9457665419254</v>
      </c>
      <c r="AJ14">
        <v>86.114285714285643</v>
      </c>
    </row>
    <row r="15" spans="1:36" x14ac:dyDescent="0.25">
      <c r="A15">
        <v>1200</v>
      </c>
      <c r="B15">
        <v>555000</v>
      </c>
      <c r="C15">
        <v>482171.61725829978</v>
      </c>
      <c r="D15">
        <v>629000</v>
      </c>
      <c r="E15">
        <v>578605.94070995972</v>
      </c>
      <c r="G15">
        <v>555000</v>
      </c>
      <c r="H15">
        <v>418435.82181554986</v>
      </c>
      <c r="I15">
        <v>629000</v>
      </c>
      <c r="J15">
        <v>472122.98617865983</v>
      </c>
      <c r="M15">
        <v>5590</v>
      </c>
      <c r="N15">
        <v>3912.1873150776273</v>
      </c>
      <c r="T15">
        <v>5590</v>
      </c>
      <c r="U15">
        <v>4603.6571428571442</v>
      </c>
      <c r="AB15">
        <v>4261.0512284417209</v>
      </c>
      <c r="AC15">
        <v>665.14285714285711</v>
      </c>
      <c r="AI15">
        <v>4013.4094697805258</v>
      </c>
      <c r="AJ15">
        <v>93.942857142857136</v>
      </c>
    </row>
    <row r="16" spans="1:36" x14ac:dyDescent="0.25">
      <c r="A16">
        <v>1300</v>
      </c>
      <c r="B16">
        <v>555000</v>
      </c>
      <c r="C16">
        <v>477716.61725829978</v>
      </c>
      <c r="D16">
        <v>629000</v>
      </c>
      <c r="E16">
        <v>573259.94070995972</v>
      </c>
      <c r="G16">
        <v>555000</v>
      </c>
      <c r="H16">
        <v>413980.82181554986</v>
      </c>
      <c r="I16">
        <v>629000</v>
      </c>
      <c r="J16">
        <v>466776.98617865983</v>
      </c>
      <c r="M16">
        <v>5590</v>
      </c>
      <c r="N16">
        <v>3873.1710476289027</v>
      </c>
      <c r="T16">
        <v>5590</v>
      </c>
      <c r="U16">
        <v>4620.6285714285723</v>
      </c>
      <c r="AB16">
        <v>4267.8984405994051</v>
      </c>
      <c r="AC16">
        <v>720.57142857142867</v>
      </c>
      <c r="AI16">
        <v>4022.7795087962909</v>
      </c>
      <c r="AJ16">
        <v>101.77142857142863</v>
      </c>
    </row>
    <row r="17" spans="1:36" x14ac:dyDescent="0.25">
      <c r="A17">
        <v>1400</v>
      </c>
      <c r="B17">
        <v>555000</v>
      </c>
      <c r="C17">
        <v>473261.61725829978</v>
      </c>
      <c r="D17">
        <v>629000</v>
      </c>
      <c r="E17">
        <v>567913.94070995972</v>
      </c>
      <c r="G17">
        <v>555000</v>
      </c>
      <c r="H17">
        <v>409525.82181554986</v>
      </c>
      <c r="I17">
        <v>629000</v>
      </c>
      <c r="J17">
        <v>461430.98617865983</v>
      </c>
      <c r="M17">
        <v>5590</v>
      </c>
      <c r="N17">
        <v>3834.1547801801771</v>
      </c>
      <c r="T17">
        <v>5590</v>
      </c>
      <c r="U17">
        <v>4637.6000000000004</v>
      </c>
      <c r="AB17">
        <v>4274.6726408323539</v>
      </c>
      <c r="AC17">
        <v>776</v>
      </c>
      <c r="AI17">
        <v>4032.0566962211874</v>
      </c>
      <c r="AJ17">
        <v>109.59999999999987</v>
      </c>
    </row>
    <row r="18" spans="1:36" x14ac:dyDescent="0.25">
      <c r="A18">
        <v>1500</v>
      </c>
      <c r="B18">
        <v>555000</v>
      </c>
      <c r="C18">
        <v>468806.61725829978</v>
      </c>
      <c r="D18">
        <v>629000</v>
      </c>
      <c r="E18">
        <v>562567.94070995972</v>
      </c>
      <c r="G18">
        <v>555000</v>
      </c>
      <c r="H18">
        <v>405070.82181554986</v>
      </c>
      <c r="I18">
        <v>629000</v>
      </c>
      <c r="J18">
        <v>456084.98617865983</v>
      </c>
      <c r="M18">
        <v>5590</v>
      </c>
      <c r="N18">
        <v>3795.1385127314516</v>
      </c>
      <c r="T18">
        <v>5590</v>
      </c>
      <c r="U18">
        <v>4654.5714285714294</v>
      </c>
      <c r="AB18">
        <v>4281.3743366310327</v>
      </c>
      <c r="AC18">
        <v>831.42857142857144</v>
      </c>
      <c r="AI18">
        <v>4041.2418327204546</v>
      </c>
      <c r="AJ18">
        <v>117.42857142857136</v>
      </c>
    </row>
    <row r="19" spans="1:36" x14ac:dyDescent="0.25">
      <c r="A19">
        <v>1600</v>
      </c>
      <c r="B19">
        <v>555000</v>
      </c>
      <c r="C19">
        <v>464351.61725829978</v>
      </c>
      <c r="D19">
        <v>629000</v>
      </c>
      <c r="E19">
        <v>557221.94070995972</v>
      </c>
      <c r="G19">
        <v>555000</v>
      </c>
      <c r="H19">
        <v>400615.82181554986</v>
      </c>
      <c r="I19">
        <v>629000</v>
      </c>
      <c r="J19">
        <v>450738.98617865983</v>
      </c>
      <c r="M19">
        <v>5590</v>
      </c>
      <c r="N19">
        <v>3756.122245282726</v>
      </c>
      <c r="T19">
        <v>5590</v>
      </c>
      <c r="U19">
        <v>4671.5428571428574</v>
      </c>
      <c r="AB19">
        <v>4288.004027629675</v>
      </c>
      <c r="AC19">
        <v>886.85714285714278</v>
      </c>
      <c r="AI19">
        <v>4050.3357071874816</v>
      </c>
      <c r="AJ19">
        <v>125.25714285714272</v>
      </c>
    </row>
    <row r="20" spans="1:36" x14ac:dyDescent="0.25">
      <c r="A20">
        <v>1700</v>
      </c>
      <c r="B20">
        <v>555000</v>
      </c>
      <c r="C20">
        <v>459896.61725829978</v>
      </c>
      <c r="D20">
        <v>629000</v>
      </c>
      <c r="E20">
        <v>551875.94070995972</v>
      </c>
      <c r="G20">
        <v>555000</v>
      </c>
      <c r="H20">
        <v>396160.82181554986</v>
      </c>
      <c r="I20">
        <v>629000</v>
      </c>
      <c r="J20">
        <v>445392.98617865983</v>
      </c>
      <c r="M20">
        <v>5590</v>
      </c>
      <c r="N20">
        <v>3717.1059778340009</v>
      </c>
      <c r="T20">
        <v>5590</v>
      </c>
      <c r="U20">
        <v>4688.5142857142855</v>
      </c>
      <c r="AB20">
        <v>4294.5622056817247</v>
      </c>
      <c r="AC20">
        <v>942.28571428571422</v>
      </c>
      <c r="AI20">
        <v>4059.3390969333641</v>
      </c>
      <c r="AJ20">
        <v>133.08571428571423</v>
      </c>
    </row>
    <row r="21" spans="1:36" x14ac:dyDescent="0.25">
      <c r="A21">
        <v>1800</v>
      </c>
      <c r="B21">
        <v>555000</v>
      </c>
      <c r="C21">
        <v>455441.61725829978</v>
      </c>
      <c r="D21">
        <v>629000</v>
      </c>
      <c r="E21">
        <v>546529.94070995972</v>
      </c>
      <c r="G21">
        <v>555000</v>
      </c>
      <c r="H21">
        <v>391705.82181554986</v>
      </c>
      <c r="I21">
        <v>629000</v>
      </c>
      <c r="J21">
        <v>440046.98617865983</v>
      </c>
      <c r="M21">
        <v>5590</v>
      </c>
      <c r="N21">
        <v>3678.0897103852753</v>
      </c>
      <c r="T21">
        <v>5590</v>
      </c>
      <c r="U21">
        <v>4705.4857142857145</v>
      </c>
      <c r="AB21">
        <v>4301.0493549325638</v>
      </c>
      <c r="AC21">
        <v>997.71428571428578</v>
      </c>
      <c r="AI21">
        <v>4068.2527678712918</v>
      </c>
      <c r="AJ21">
        <v>140.91428571428571</v>
      </c>
    </row>
    <row r="22" spans="1:36" x14ac:dyDescent="0.25">
      <c r="A22">
        <v>1900</v>
      </c>
      <c r="B22">
        <v>555000</v>
      </c>
      <c r="C22">
        <v>450986.61725829978</v>
      </c>
      <c r="D22">
        <v>629000</v>
      </c>
      <c r="E22">
        <v>541183.94070995972</v>
      </c>
      <c r="G22">
        <v>555000</v>
      </c>
      <c r="H22">
        <v>387250.82181554986</v>
      </c>
      <c r="I22">
        <v>629000</v>
      </c>
      <c r="J22">
        <v>434700.98617865983</v>
      </c>
      <c r="M22">
        <v>5590</v>
      </c>
      <c r="N22">
        <v>3639.0734429365502</v>
      </c>
      <c r="T22">
        <v>5590</v>
      </c>
      <c r="U22">
        <v>4722.4571428571444</v>
      </c>
      <c r="AB22">
        <v>4307.4659518895851</v>
      </c>
      <c r="AC22">
        <v>1053.1428571428571</v>
      </c>
      <c r="AI22">
        <v>4077.0774746958855</v>
      </c>
      <c r="AJ22">
        <v>148.74285714285696</v>
      </c>
    </row>
    <row r="23" spans="1:36" x14ac:dyDescent="0.25">
      <c r="A23">
        <v>2000</v>
      </c>
      <c r="B23">
        <v>555000</v>
      </c>
      <c r="C23">
        <v>446531.61725829978</v>
      </c>
      <c r="D23">
        <v>629000</v>
      </c>
      <c r="E23">
        <v>535837.94070995972</v>
      </c>
      <c r="G23">
        <v>555000</v>
      </c>
      <c r="H23">
        <v>382795.82181554986</v>
      </c>
      <c r="I23">
        <v>629000</v>
      </c>
      <c r="J23">
        <v>429354.98617865983</v>
      </c>
      <c r="M23">
        <v>5590</v>
      </c>
      <c r="N23">
        <v>3600.0571754878251</v>
      </c>
      <c r="T23">
        <v>5590</v>
      </c>
      <c r="U23">
        <v>4739.4285714285725</v>
      </c>
      <c r="AB23">
        <v>4313.8124654896246</v>
      </c>
      <c r="AC23">
        <v>1108.5714285714287</v>
      </c>
      <c r="AI23">
        <v>4085.8139610576259</v>
      </c>
      <c r="AJ23">
        <v>156.57142857142844</v>
      </c>
    </row>
    <row r="24" spans="1:36" x14ac:dyDescent="0.25">
      <c r="A24">
        <v>2100</v>
      </c>
      <c r="B24">
        <v>555000</v>
      </c>
      <c r="C24">
        <v>442076.61725829978</v>
      </c>
      <c r="D24">
        <v>629000</v>
      </c>
      <c r="E24">
        <v>530491.94070995972</v>
      </c>
      <c r="G24">
        <v>555000</v>
      </c>
      <c r="H24">
        <v>378340.82181554986</v>
      </c>
      <c r="I24">
        <v>629000</v>
      </c>
      <c r="J24">
        <v>424008.98617865983</v>
      </c>
      <c r="M24">
        <v>5590</v>
      </c>
      <c r="N24">
        <v>3561.0409080390996</v>
      </c>
      <c r="T24">
        <v>5590</v>
      </c>
      <c r="U24">
        <v>4756.4000000000005</v>
      </c>
      <c r="AB24">
        <v>4320.0893571638098</v>
      </c>
      <c r="AC24">
        <v>1164</v>
      </c>
      <c r="AI24">
        <v>4094.4629597324938</v>
      </c>
      <c r="AJ24">
        <v>164.39999999999981</v>
      </c>
    </row>
    <row r="25" spans="1:36" x14ac:dyDescent="0.25">
      <c r="A25">
        <v>2200</v>
      </c>
      <c r="B25">
        <v>555000</v>
      </c>
      <c r="C25">
        <v>437621.61725829978</v>
      </c>
      <c r="D25">
        <v>629000</v>
      </c>
      <c r="E25">
        <v>525145.94070995972</v>
      </c>
      <c r="G25">
        <v>555000</v>
      </c>
      <c r="H25">
        <v>373885.82181554986</v>
      </c>
      <c r="I25">
        <v>629000</v>
      </c>
      <c r="J25">
        <v>418662.98617865983</v>
      </c>
      <c r="M25">
        <v>5590</v>
      </c>
      <c r="N25">
        <v>3522.0246405903745</v>
      </c>
      <c r="T25">
        <v>5590</v>
      </c>
      <c r="U25">
        <v>4773.3714285714295</v>
      </c>
      <c r="AB25">
        <v>4326.297080899828</v>
      </c>
      <c r="AC25">
        <v>1219.4285714285713</v>
      </c>
      <c r="AI25">
        <v>4103.0251927869504</v>
      </c>
      <c r="AJ25">
        <v>172.22857142857129</v>
      </c>
    </row>
    <row r="26" spans="1:36" x14ac:dyDescent="0.25">
      <c r="A26">
        <v>2300</v>
      </c>
      <c r="B26">
        <v>555000</v>
      </c>
      <c r="C26">
        <v>433166.61725829978</v>
      </c>
      <c r="D26">
        <v>629000</v>
      </c>
      <c r="E26">
        <v>519799.94070995977</v>
      </c>
      <c r="G26">
        <v>555000</v>
      </c>
      <c r="H26">
        <v>369430.82181554986</v>
      </c>
      <c r="I26">
        <v>629000</v>
      </c>
      <c r="J26">
        <v>413316.98617865983</v>
      </c>
      <c r="M26">
        <v>5590</v>
      </c>
      <c r="N26">
        <v>3483.0083731416494</v>
      </c>
      <c r="T26">
        <v>5590</v>
      </c>
      <c r="U26">
        <v>4790.3428571428576</v>
      </c>
      <c r="AB26">
        <v>4332.4360833016681</v>
      </c>
      <c r="AC26">
        <v>1274.8571428571429</v>
      </c>
      <c r="AI26">
        <v>4111.5013717383727</v>
      </c>
      <c r="AJ26">
        <v>180.05714285714279</v>
      </c>
    </row>
    <row r="27" spans="1:36" x14ac:dyDescent="0.25">
      <c r="A27">
        <v>2400</v>
      </c>
      <c r="B27">
        <v>555000</v>
      </c>
      <c r="C27">
        <v>428711.61725829978</v>
      </c>
      <c r="D27">
        <v>629000</v>
      </c>
      <c r="E27">
        <v>514453.94070995977</v>
      </c>
      <c r="G27">
        <v>555000</v>
      </c>
      <c r="H27">
        <v>364975.82181554986</v>
      </c>
      <c r="I27">
        <v>629000</v>
      </c>
      <c r="J27">
        <v>407970.98617865983</v>
      </c>
      <c r="M27">
        <v>5590</v>
      </c>
      <c r="N27">
        <v>3443.9921056929238</v>
      </c>
      <c r="T27">
        <v>5590</v>
      </c>
      <c r="U27">
        <v>4807.3142857142857</v>
      </c>
      <c r="AB27">
        <v>4338.5068036468592</v>
      </c>
      <c r="AC27">
        <v>1330.2857142857142</v>
      </c>
      <c r="AI27">
        <v>4119.8921977110576</v>
      </c>
      <c r="AJ27">
        <v>187.88571428571427</v>
      </c>
    </row>
    <row r="28" spans="1:36" x14ac:dyDescent="0.25">
      <c r="A28">
        <v>2500</v>
      </c>
      <c r="B28">
        <v>555000</v>
      </c>
      <c r="C28">
        <v>424256.61725829978</v>
      </c>
      <c r="D28">
        <v>629000</v>
      </c>
      <c r="E28">
        <v>509107.94070995977</v>
      </c>
      <c r="G28">
        <v>555000</v>
      </c>
      <c r="H28">
        <v>360520.82181554986</v>
      </c>
      <c r="I28">
        <v>629000</v>
      </c>
      <c r="J28">
        <v>402624.98617865983</v>
      </c>
      <c r="M28">
        <v>5590</v>
      </c>
      <c r="N28">
        <v>3404.9758382441983</v>
      </c>
      <c r="T28">
        <v>5590</v>
      </c>
      <c r="U28">
        <v>4824.2857142857147</v>
      </c>
      <c r="AB28">
        <v>4344.5096739412211</v>
      </c>
      <c r="AC28">
        <v>1385.7142857142858</v>
      </c>
      <c r="AI28">
        <v>4128.1983615878898</v>
      </c>
      <c r="AJ28">
        <v>195.71428571428578</v>
      </c>
    </row>
    <row r="29" spans="1:36" x14ac:dyDescent="0.25">
      <c r="A29">
        <v>2600</v>
      </c>
      <c r="B29">
        <v>555000</v>
      </c>
      <c r="C29">
        <v>419801.61725829978</v>
      </c>
      <c r="D29">
        <v>629000</v>
      </c>
      <c r="E29">
        <v>503761.94070995977</v>
      </c>
      <c r="G29">
        <v>555000</v>
      </c>
      <c r="H29">
        <v>356065.82181554986</v>
      </c>
      <c r="I29">
        <v>629000</v>
      </c>
      <c r="J29">
        <v>397278.98617865983</v>
      </c>
      <c r="M29">
        <v>5590</v>
      </c>
      <c r="N29">
        <v>3365.9595707954732</v>
      </c>
      <c r="T29">
        <v>5590</v>
      </c>
      <c r="U29">
        <v>4841.2571428571428</v>
      </c>
      <c r="AB29">
        <v>4350.4451189711563</v>
      </c>
      <c r="AC29">
        <v>1441.1428571428573</v>
      </c>
      <c r="AI29">
        <v>4136.4205441578106</v>
      </c>
      <c r="AJ29">
        <v>203.54285714285726</v>
      </c>
    </row>
    <row r="30" spans="1:36" x14ac:dyDescent="0.25">
      <c r="A30">
        <v>2700</v>
      </c>
      <c r="B30">
        <v>555000</v>
      </c>
      <c r="C30">
        <v>415346.61725829978</v>
      </c>
      <c r="D30">
        <v>629000</v>
      </c>
      <c r="E30">
        <v>498415.94070995977</v>
      </c>
      <c r="G30">
        <v>555000</v>
      </c>
      <c r="H30">
        <v>351610.82181554986</v>
      </c>
      <c r="I30">
        <v>629000</v>
      </c>
      <c r="J30">
        <v>391932.98617865983</v>
      </c>
      <c r="M30">
        <v>5590</v>
      </c>
      <c r="N30">
        <v>3326.9433033467485</v>
      </c>
      <c r="T30">
        <v>5590</v>
      </c>
      <c r="U30">
        <v>4858.2285714285726</v>
      </c>
      <c r="AB30">
        <v>4356.3135563535134</v>
      </c>
      <c r="AC30">
        <v>1496.5714285714284</v>
      </c>
      <c r="AI30">
        <v>4144.5594162591469</v>
      </c>
      <c r="AJ30">
        <v>211.37142857142851</v>
      </c>
    </row>
    <row r="31" spans="1:36" x14ac:dyDescent="0.25">
      <c r="A31">
        <v>2800</v>
      </c>
      <c r="B31">
        <v>555000</v>
      </c>
      <c r="C31">
        <v>410891.61725829978</v>
      </c>
      <c r="D31">
        <v>629000</v>
      </c>
      <c r="E31">
        <v>493069.94070995977</v>
      </c>
      <c r="G31">
        <v>555000</v>
      </c>
      <c r="H31">
        <v>347155.82181554986</v>
      </c>
      <c r="I31">
        <v>629000</v>
      </c>
      <c r="J31">
        <v>386586.98617865983</v>
      </c>
      <c r="M31">
        <v>5590</v>
      </c>
      <c r="N31">
        <v>3287.9270358980225</v>
      </c>
      <c r="T31">
        <v>5590</v>
      </c>
      <c r="U31">
        <v>4875.2000000000007</v>
      </c>
      <c r="AB31">
        <v>4362.1153965830372</v>
      </c>
      <c r="AC31">
        <v>1552</v>
      </c>
      <c r="AI31">
        <v>4152.61563891893</v>
      </c>
      <c r="AJ31">
        <v>219.19999999999973</v>
      </c>
    </row>
    <row r="32" spans="1:36" x14ac:dyDescent="0.25">
      <c r="A32">
        <v>2900</v>
      </c>
      <c r="B32">
        <v>555000</v>
      </c>
      <c r="C32">
        <v>406436.61725829978</v>
      </c>
      <c r="D32">
        <v>629000</v>
      </c>
      <c r="E32">
        <v>487723.94070995977</v>
      </c>
      <c r="G32">
        <v>555000</v>
      </c>
      <c r="H32">
        <v>342700.82181554986</v>
      </c>
      <c r="I32">
        <v>629000</v>
      </c>
      <c r="J32">
        <v>381240.98617865983</v>
      </c>
      <c r="M32">
        <v>5590</v>
      </c>
      <c r="N32">
        <v>3248.9107684492974</v>
      </c>
      <c r="T32">
        <v>5590</v>
      </c>
      <c r="U32">
        <v>4892.1714285714288</v>
      </c>
      <c r="AB32">
        <v>4367.8510430774159</v>
      </c>
      <c r="AC32">
        <v>1607.4285714285713</v>
      </c>
      <c r="AI32">
        <v>4160.589863488286</v>
      </c>
      <c r="AJ32">
        <v>227.02857142857124</v>
      </c>
    </row>
    <row r="33" spans="1:36" x14ac:dyDescent="0.25">
      <c r="A33">
        <v>3000</v>
      </c>
      <c r="B33">
        <v>555000</v>
      </c>
      <c r="C33">
        <v>401981.61725829978</v>
      </c>
      <c r="D33">
        <v>629000</v>
      </c>
      <c r="E33">
        <v>482377.94070995977</v>
      </c>
      <c r="G33">
        <v>555000</v>
      </c>
      <c r="H33">
        <v>338245.82181554986</v>
      </c>
      <c r="I33">
        <v>629000</v>
      </c>
      <c r="J33">
        <v>375894.98617865983</v>
      </c>
      <c r="M33">
        <v>5590</v>
      </c>
      <c r="N33">
        <v>3209.8945010005723</v>
      </c>
      <c r="T33">
        <v>5590</v>
      </c>
      <c r="U33">
        <v>4909.1428571428578</v>
      </c>
      <c r="AB33">
        <v>4373.5208922199554</v>
      </c>
      <c r="AC33">
        <v>1662.8571428571429</v>
      </c>
      <c r="AI33">
        <v>4168.4827317739746</v>
      </c>
      <c r="AJ33">
        <v>234.85714285714272</v>
      </c>
    </row>
    <row r="34" spans="1:36" x14ac:dyDescent="0.25">
      <c r="A34">
        <v>3100</v>
      </c>
      <c r="B34">
        <v>555000</v>
      </c>
      <c r="C34">
        <v>397526.61725829978</v>
      </c>
      <c r="D34">
        <v>629000</v>
      </c>
      <c r="E34">
        <v>477031.94070995977</v>
      </c>
      <c r="G34">
        <v>555000</v>
      </c>
      <c r="H34">
        <v>333790.82181554986</v>
      </c>
      <c r="I34">
        <v>629000</v>
      </c>
      <c r="J34">
        <v>370548.98617865983</v>
      </c>
      <c r="M34">
        <v>5590</v>
      </c>
      <c r="N34">
        <v>3170.8782335518467</v>
      </c>
      <c r="T34">
        <v>5590</v>
      </c>
      <c r="U34">
        <v>4926.1142857142859</v>
      </c>
      <c r="AB34">
        <v>4379.1253333998939</v>
      </c>
      <c r="AC34">
        <v>1718.2857142857144</v>
      </c>
      <c r="AI34">
        <v>4176.2948761661837</v>
      </c>
      <c r="AJ34">
        <v>242.68571428571423</v>
      </c>
    </row>
    <row r="35" spans="1:36" x14ac:dyDescent="0.25">
      <c r="A35">
        <v>3200</v>
      </c>
      <c r="B35">
        <v>555000</v>
      </c>
      <c r="C35">
        <v>393071.61725829978</v>
      </c>
      <c r="D35">
        <v>629000</v>
      </c>
      <c r="E35">
        <v>471685.94070995977</v>
      </c>
      <c r="G35">
        <v>555000</v>
      </c>
      <c r="H35">
        <v>329335.82181554986</v>
      </c>
      <c r="I35">
        <v>629000</v>
      </c>
      <c r="J35">
        <v>365202.98617865983</v>
      </c>
      <c r="M35">
        <v>5590</v>
      </c>
      <c r="N35">
        <v>3131.8619661031212</v>
      </c>
      <c r="T35">
        <v>5590</v>
      </c>
      <c r="U35">
        <v>4943.0857142857139</v>
      </c>
      <c r="AB35">
        <v>4384.664749050351</v>
      </c>
      <c r="AC35">
        <v>1773.7142857142856</v>
      </c>
      <c r="AI35">
        <v>4184.0269197626594</v>
      </c>
      <c r="AJ35">
        <v>250.51428571428545</v>
      </c>
    </row>
    <row r="36" spans="1:36" x14ac:dyDescent="0.25">
      <c r="A36">
        <v>3300</v>
      </c>
      <c r="B36">
        <v>555000</v>
      </c>
      <c r="C36">
        <v>388616.61725829978</v>
      </c>
      <c r="D36">
        <v>629000</v>
      </c>
      <c r="E36">
        <v>466339.94070995977</v>
      </c>
      <c r="G36">
        <v>555000</v>
      </c>
      <c r="H36">
        <v>324880.82181554986</v>
      </c>
      <c r="I36">
        <v>629000</v>
      </c>
      <c r="J36">
        <v>359856.98617865983</v>
      </c>
      <c r="M36">
        <v>5590</v>
      </c>
      <c r="N36">
        <v>3092.8456986543961</v>
      </c>
      <c r="T36">
        <v>5590</v>
      </c>
      <c r="U36">
        <v>4960.0571428571429</v>
      </c>
      <c r="AB36">
        <v>4390.1395146839677</v>
      </c>
      <c r="AC36">
        <v>1829.1428571428571</v>
      </c>
      <c r="AI36">
        <v>4191.6794764892247</v>
      </c>
      <c r="AJ36">
        <v>258.34285714285693</v>
      </c>
    </row>
    <row r="37" spans="1:36" x14ac:dyDescent="0.25">
      <c r="A37">
        <v>3400</v>
      </c>
      <c r="B37">
        <v>555000</v>
      </c>
      <c r="C37">
        <v>384161.61725829978</v>
      </c>
      <c r="D37">
        <v>629000</v>
      </c>
      <c r="E37">
        <v>460993.94070995977</v>
      </c>
      <c r="G37">
        <v>555000</v>
      </c>
      <c r="H37">
        <v>320425.82181554986</v>
      </c>
      <c r="I37">
        <v>629000</v>
      </c>
      <c r="J37">
        <v>354510.98617865983</v>
      </c>
      <c r="M37">
        <v>5590</v>
      </c>
      <c r="N37">
        <v>3053.8294312056714</v>
      </c>
      <c r="T37">
        <v>5590</v>
      </c>
      <c r="U37">
        <v>4977.0285714285728</v>
      </c>
      <c r="AB37">
        <v>4395.5499989261807</v>
      </c>
      <c r="AC37">
        <v>1884.5714285714284</v>
      </c>
      <c r="AI37">
        <v>4199.2531512168016</v>
      </c>
      <c r="AJ37">
        <v>266.17142857142846</v>
      </c>
    </row>
    <row r="38" spans="1:36" x14ac:dyDescent="0.25">
      <c r="A38">
        <v>3500</v>
      </c>
      <c r="B38">
        <v>555000</v>
      </c>
      <c r="C38">
        <v>379706.61725829978</v>
      </c>
      <c r="D38">
        <v>629000</v>
      </c>
      <c r="E38">
        <v>455647.94070995977</v>
      </c>
      <c r="G38">
        <v>555000</v>
      </c>
      <c r="H38">
        <v>315970.82181554986</v>
      </c>
      <c r="I38">
        <v>629000</v>
      </c>
      <c r="J38">
        <v>349164.98617865983</v>
      </c>
      <c r="M38">
        <v>5590</v>
      </c>
      <c r="N38">
        <v>3014.8131637569459</v>
      </c>
      <c r="T38">
        <v>5590</v>
      </c>
      <c r="U38">
        <v>4994</v>
      </c>
      <c r="AB38">
        <v>4400.8965635462137</v>
      </c>
      <c r="AC38">
        <v>1940</v>
      </c>
      <c r="AI38">
        <v>4206.748539874985</v>
      </c>
      <c r="AJ38">
        <v>273.99999999999994</v>
      </c>
    </row>
    <row r="39" spans="1:36" x14ac:dyDescent="0.25">
      <c r="A39">
        <v>3600</v>
      </c>
      <c r="B39">
        <v>555000</v>
      </c>
      <c r="C39">
        <v>375251.61725829978</v>
      </c>
      <c r="D39">
        <v>629000</v>
      </c>
      <c r="E39">
        <v>450301.94070995977</v>
      </c>
      <c r="G39">
        <v>555000</v>
      </c>
      <c r="H39">
        <v>311515.82181554986</v>
      </c>
      <c r="I39">
        <v>629000</v>
      </c>
      <c r="J39">
        <v>343818.98617865983</v>
      </c>
      <c r="M39">
        <v>5590</v>
      </c>
      <c r="N39">
        <v>2975.7968963082203</v>
      </c>
      <c r="T39">
        <v>5590</v>
      </c>
      <c r="U39">
        <v>5010.971428571429</v>
      </c>
      <c r="AB39">
        <v>4406.1795634857262</v>
      </c>
      <c r="AC39">
        <v>1995.4285714285716</v>
      </c>
      <c r="AI39">
        <v>4214.1662295622418</v>
      </c>
      <c r="AJ39">
        <v>281.82857142857142</v>
      </c>
    </row>
    <row r="40" spans="1:36" x14ac:dyDescent="0.25">
      <c r="A40">
        <v>3700</v>
      </c>
      <c r="B40">
        <v>555000</v>
      </c>
      <c r="C40">
        <v>370796.61725829978</v>
      </c>
      <c r="D40">
        <v>629000</v>
      </c>
      <c r="E40">
        <v>444955.94070995977</v>
      </c>
      <c r="G40">
        <v>555000</v>
      </c>
      <c r="H40">
        <v>307060.82181554986</v>
      </c>
      <c r="I40">
        <v>629000</v>
      </c>
      <c r="J40">
        <v>338472.98617865983</v>
      </c>
      <c r="M40">
        <v>5590</v>
      </c>
      <c r="N40">
        <v>2936.7806288594952</v>
      </c>
      <c r="T40">
        <v>5590</v>
      </c>
      <c r="U40">
        <v>5027.942857142858</v>
      </c>
      <c r="AB40">
        <v>4411.3993468851768</v>
      </c>
      <c r="AC40">
        <v>2050.8571428571431</v>
      </c>
      <c r="AI40">
        <v>4221.506798652812</v>
      </c>
      <c r="AJ40">
        <v>289.6571428571429</v>
      </c>
    </row>
    <row r="41" spans="1:36" x14ac:dyDescent="0.25">
      <c r="A41">
        <v>3800</v>
      </c>
      <c r="B41">
        <v>555000</v>
      </c>
      <c r="C41">
        <v>366341.61725829978</v>
      </c>
      <c r="D41">
        <v>629000</v>
      </c>
      <c r="E41">
        <v>439609.94070995977</v>
      </c>
      <c r="G41">
        <v>555000</v>
      </c>
      <c r="H41">
        <v>302605.82181554986</v>
      </c>
      <c r="I41">
        <v>629000</v>
      </c>
      <c r="J41">
        <v>333126.98617865983</v>
      </c>
      <c r="M41">
        <v>5590</v>
      </c>
      <c r="N41">
        <v>2897.7643614107697</v>
      </c>
      <c r="T41">
        <v>5590</v>
      </c>
      <c r="U41">
        <v>5044.9142857142851</v>
      </c>
      <c r="AB41">
        <v>4416.5562551078592</v>
      </c>
      <c r="AC41">
        <v>2106.2857142857142</v>
      </c>
      <c r="AI41">
        <v>4228.7708169003699</v>
      </c>
      <c r="AJ41">
        <v>297.48571428571393</v>
      </c>
    </row>
    <row r="42" spans="1:36" x14ac:dyDescent="0.25">
      <c r="A42">
        <v>3900</v>
      </c>
      <c r="B42">
        <v>555000</v>
      </c>
      <c r="C42">
        <v>361886.61725829978</v>
      </c>
      <c r="D42">
        <v>629000</v>
      </c>
      <c r="E42">
        <v>434263.94070995977</v>
      </c>
      <c r="G42">
        <v>555000</v>
      </c>
      <c r="H42">
        <v>298150.82181554986</v>
      </c>
      <c r="I42">
        <v>629000</v>
      </c>
      <c r="J42">
        <v>327780.98617865983</v>
      </c>
      <c r="M42">
        <v>5590</v>
      </c>
      <c r="N42">
        <v>2858.7480939620441</v>
      </c>
      <c r="T42">
        <v>5590</v>
      </c>
      <c r="U42">
        <v>5061.8857142857141</v>
      </c>
      <c r="AB42">
        <v>4421.6506227616492</v>
      </c>
      <c r="AC42">
        <v>2161.7142857142858</v>
      </c>
      <c r="AI42">
        <v>4235.9588455385092</v>
      </c>
      <c r="AJ42">
        <v>305.3142857142854</v>
      </c>
    </row>
    <row r="43" spans="1:36" x14ac:dyDescent="0.25">
      <c r="A43">
        <v>4000</v>
      </c>
      <c r="B43">
        <v>555000</v>
      </c>
      <c r="C43">
        <v>357431.61725829978</v>
      </c>
      <c r="D43">
        <v>629000</v>
      </c>
      <c r="E43">
        <v>428917.94070995977</v>
      </c>
      <c r="G43">
        <v>555000</v>
      </c>
      <c r="H43">
        <v>293695.82181554986</v>
      </c>
      <c r="I43">
        <v>629000</v>
      </c>
      <c r="J43">
        <v>322434.98617865983</v>
      </c>
      <c r="M43">
        <v>5590</v>
      </c>
      <c r="N43">
        <v>2819.731826513319</v>
      </c>
      <c r="T43">
        <v>5590</v>
      </c>
      <c r="U43">
        <v>5078.8571428571431</v>
      </c>
      <c r="AB43">
        <v>4426.6827777184444</v>
      </c>
      <c r="AC43">
        <v>2217.1428571428573</v>
      </c>
      <c r="AI43">
        <v>4243.0714373781066</v>
      </c>
      <c r="AJ43">
        <v>313.14285714285688</v>
      </c>
    </row>
    <row r="44" spans="1:36" x14ac:dyDescent="0.25">
      <c r="A44">
        <v>4100</v>
      </c>
      <c r="B44">
        <v>555000</v>
      </c>
      <c r="C44">
        <v>352976.61725829978</v>
      </c>
      <c r="D44">
        <v>629000</v>
      </c>
      <c r="E44">
        <v>423571.94070995977</v>
      </c>
      <c r="G44">
        <v>555000</v>
      </c>
      <c r="H44">
        <v>289240.82181554986</v>
      </c>
      <c r="I44">
        <v>629000</v>
      </c>
      <c r="J44">
        <v>317088.98617865983</v>
      </c>
      <c r="M44">
        <v>5590</v>
      </c>
      <c r="N44">
        <v>2780.7155590645939</v>
      </c>
      <c r="T44">
        <v>5590</v>
      </c>
      <c r="U44">
        <v>5095.8285714285721</v>
      </c>
      <c r="AB44">
        <v>4431.6530411312897</v>
      </c>
      <c r="AC44">
        <v>2272.5714285714284</v>
      </c>
      <c r="AI44">
        <v>4250.1091369016322</v>
      </c>
      <c r="AJ44">
        <v>343.82857142857108</v>
      </c>
    </row>
    <row r="45" spans="1:36" x14ac:dyDescent="0.25">
      <c r="A45">
        <v>4200</v>
      </c>
      <c r="B45">
        <v>555000</v>
      </c>
      <c r="C45">
        <v>348521.61725829978</v>
      </c>
      <c r="D45">
        <v>629000</v>
      </c>
      <c r="E45">
        <v>418225.94070995977</v>
      </c>
      <c r="G45">
        <v>555000</v>
      </c>
      <c r="H45">
        <v>284785.82181554986</v>
      </c>
      <c r="I45">
        <v>629000</v>
      </c>
      <c r="J45">
        <v>311742.98617865983</v>
      </c>
      <c r="M45">
        <v>5590</v>
      </c>
      <c r="N45">
        <v>2741.6992916158688</v>
      </c>
      <c r="T45">
        <v>5590</v>
      </c>
      <c r="U45">
        <v>5112.8</v>
      </c>
      <c r="AB45">
        <v>4436.5617274491906</v>
      </c>
      <c r="AC45">
        <v>2328</v>
      </c>
      <c r="AI45">
        <v>4257.0724803544517</v>
      </c>
      <c r="AJ45">
        <v>374.51428571428551</v>
      </c>
    </row>
    <row r="46" spans="1:36" x14ac:dyDescent="0.25">
      <c r="A46">
        <v>4300</v>
      </c>
      <c r="B46">
        <v>555000</v>
      </c>
      <c r="C46">
        <v>344066.61725829978</v>
      </c>
      <c r="D46">
        <v>629000</v>
      </c>
      <c r="E46">
        <v>412879.94070995977</v>
      </c>
      <c r="G46">
        <v>555000</v>
      </c>
      <c r="H46">
        <v>280330.82181554986</v>
      </c>
      <c r="I46">
        <v>629000</v>
      </c>
      <c r="J46">
        <v>306396.98617865983</v>
      </c>
      <c r="M46">
        <v>5590</v>
      </c>
      <c r="N46">
        <v>2702.6830241671432</v>
      </c>
      <c r="T46">
        <v>5590</v>
      </c>
      <c r="U46">
        <v>5129.7714285714292</v>
      </c>
      <c r="AB46">
        <v>4441.4091444296291</v>
      </c>
      <c r="AC46">
        <v>2383.4285714285711</v>
      </c>
      <c r="AI46">
        <v>4263.961995833175</v>
      </c>
      <c r="AJ46">
        <v>405.19999999999993</v>
      </c>
    </row>
    <row r="47" spans="1:36" x14ac:dyDescent="0.25">
      <c r="A47">
        <v>4400</v>
      </c>
      <c r="B47">
        <v>555000</v>
      </c>
      <c r="C47">
        <v>339611.61725829978</v>
      </c>
      <c r="D47">
        <v>629000</v>
      </c>
      <c r="E47">
        <v>407533.94070995977</v>
      </c>
      <c r="G47">
        <v>555000</v>
      </c>
      <c r="H47">
        <v>275875.82181554986</v>
      </c>
      <c r="I47">
        <v>629000</v>
      </c>
      <c r="J47">
        <v>301050.98617865983</v>
      </c>
      <c r="M47">
        <v>5590</v>
      </c>
      <c r="N47">
        <v>2663.6667567184181</v>
      </c>
      <c r="T47">
        <v>5590</v>
      </c>
      <c r="U47">
        <v>5146.7428571428582</v>
      </c>
      <c r="AB47">
        <v>4446.1955931487164</v>
      </c>
      <c r="AC47">
        <v>2438.8571428571427</v>
      </c>
      <c r="AI47">
        <v>4270.7782033711001</v>
      </c>
      <c r="AJ47">
        <v>435.88571428571436</v>
      </c>
    </row>
    <row r="48" spans="1:36" x14ac:dyDescent="0.25">
      <c r="A48">
        <v>4500</v>
      </c>
      <c r="B48">
        <v>555000</v>
      </c>
      <c r="C48">
        <v>335156.61725829978</v>
      </c>
      <c r="D48">
        <v>629000</v>
      </c>
      <c r="E48">
        <v>402187.94070995977</v>
      </c>
      <c r="G48">
        <v>555000</v>
      </c>
      <c r="H48">
        <v>271420.82181554986</v>
      </c>
      <c r="I48">
        <v>629000</v>
      </c>
      <c r="J48">
        <v>295704.98617865983</v>
      </c>
      <c r="M48">
        <v>5590</v>
      </c>
      <c r="N48">
        <v>2624.650489269693</v>
      </c>
      <c r="T48">
        <v>5590</v>
      </c>
      <c r="U48">
        <v>5163.7142857142862</v>
      </c>
      <c r="AB48">
        <v>4450.9213680090534</v>
      </c>
      <c r="AC48">
        <v>2494.2857142857142</v>
      </c>
      <c r="AI48">
        <v>4277.5216150208053</v>
      </c>
      <c r="AJ48">
        <v>466.57142857142827</v>
      </c>
    </row>
    <row r="49" spans="1:36" x14ac:dyDescent="0.25">
      <c r="A49">
        <v>4600</v>
      </c>
      <c r="B49">
        <v>555000</v>
      </c>
      <c r="C49">
        <v>330701.61725829978</v>
      </c>
      <c r="D49">
        <v>629000</v>
      </c>
      <c r="E49">
        <v>396841.94070995977</v>
      </c>
      <c r="G49">
        <v>555000</v>
      </c>
      <c r="H49">
        <v>266965.82181554986</v>
      </c>
      <c r="I49">
        <v>629000</v>
      </c>
      <c r="J49">
        <v>290358.98617865983</v>
      </c>
      <c r="M49">
        <v>5590</v>
      </c>
      <c r="N49">
        <v>2585.6342218209675</v>
      </c>
      <c r="T49">
        <v>5590</v>
      </c>
      <c r="U49">
        <v>5180.6857142857152</v>
      </c>
      <c r="AB49">
        <v>4455.5867567452142</v>
      </c>
      <c r="AC49">
        <v>2549.7142857142858</v>
      </c>
      <c r="AI49">
        <v>4284.1927349339358</v>
      </c>
      <c r="AJ49">
        <v>497.2571428571427</v>
      </c>
    </row>
    <row r="50" spans="1:36" x14ac:dyDescent="0.25">
      <c r="A50">
        <v>4700</v>
      </c>
      <c r="B50">
        <v>555000</v>
      </c>
      <c r="C50">
        <v>326246.61725829978</v>
      </c>
      <c r="D50">
        <v>629000</v>
      </c>
      <c r="E50">
        <v>391495.94070995977</v>
      </c>
      <c r="G50">
        <v>555000</v>
      </c>
      <c r="H50">
        <v>262510.82181554986</v>
      </c>
      <c r="I50">
        <v>629000</v>
      </c>
      <c r="J50">
        <v>285012.98617865983</v>
      </c>
      <c r="M50">
        <v>5590</v>
      </c>
      <c r="N50">
        <v>2546.6179543722419</v>
      </c>
      <c r="T50">
        <v>5590</v>
      </c>
      <c r="U50">
        <v>5197.6571428571433</v>
      </c>
      <c r="AB50">
        <v>4460.1920404268722</v>
      </c>
      <c r="AC50">
        <v>2605.1428571428573</v>
      </c>
      <c r="AI50">
        <v>4290.7920594382012</v>
      </c>
      <c r="AJ50">
        <v>527.94285714285718</v>
      </c>
    </row>
    <row r="51" spans="1:36" x14ac:dyDescent="0.25">
      <c r="A51">
        <v>4800</v>
      </c>
      <c r="B51">
        <v>555000</v>
      </c>
      <c r="C51">
        <v>321791.61725829978</v>
      </c>
      <c r="D51">
        <v>629000</v>
      </c>
      <c r="E51">
        <v>386149.94070995977</v>
      </c>
      <c r="G51">
        <v>555000</v>
      </c>
      <c r="H51">
        <v>258055.82181554986</v>
      </c>
      <c r="I51">
        <v>629000</v>
      </c>
      <c r="J51">
        <v>279666.98617865983</v>
      </c>
      <c r="M51">
        <v>5590</v>
      </c>
      <c r="N51">
        <v>2507.6016869235168</v>
      </c>
      <c r="T51">
        <v>5590</v>
      </c>
      <c r="U51">
        <v>5214.6285714285714</v>
      </c>
      <c r="AB51">
        <v>4464.7374934595746</v>
      </c>
      <c r="AC51">
        <v>2660.5714285714284</v>
      </c>
      <c r="AI51">
        <v>4297.3200771116781</v>
      </c>
      <c r="AJ51">
        <v>558.6285714285716</v>
      </c>
    </row>
    <row r="52" spans="1:36" x14ac:dyDescent="0.25">
      <c r="A52">
        <v>4900</v>
      </c>
      <c r="B52">
        <v>555000</v>
      </c>
      <c r="C52">
        <v>317336.61725829978</v>
      </c>
      <c r="D52">
        <v>629000</v>
      </c>
      <c r="E52">
        <v>380803.94070995977</v>
      </c>
      <c r="G52">
        <v>555000</v>
      </c>
      <c r="H52">
        <v>253600.82181554986</v>
      </c>
      <c r="I52">
        <v>629000</v>
      </c>
      <c r="J52">
        <v>274320.98617865983</v>
      </c>
      <c r="M52">
        <v>5590</v>
      </c>
      <c r="N52">
        <v>2468.5854194747917</v>
      </c>
      <c r="T52">
        <v>5590</v>
      </c>
      <c r="U52">
        <v>5231.6000000000004</v>
      </c>
      <c r="AB52">
        <v>4469.2233835830975</v>
      </c>
      <c r="AC52">
        <v>2716</v>
      </c>
      <c r="AI52">
        <v>4303.7772688543973</v>
      </c>
      <c r="AJ52">
        <v>589.31428571428523</v>
      </c>
    </row>
    <row r="53" spans="1:36" x14ac:dyDescent="0.25">
      <c r="A53">
        <v>5000</v>
      </c>
      <c r="B53">
        <v>555000</v>
      </c>
      <c r="C53">
        <v>312881.61725829978</v>
      </c>
      <c r="D53">
        <v>629000</v>
      </c>
      <c r="E53">
        <v>375457.94070995977</v>
      </c>
      <c r="G53">
        <v>555000</v>
      </c>
      <c r="H53">
        <v>249145.82181554986</v>
      </c>
      <c r="I53">
        <v>629000</v>
      </c>
      <c r="J53">
        <v>268974.98617865983</v>
      </c>
      <c r="M53">
        <v>5590</v>
      </c>
      <c r="N53">
        <v>2429.5691520260666</v>
      </c>
      <c r="T53">
        <v>5590</v>
      </c>
      <c r="U53">
        <v>5248.5714285714303</v>
      </c>
      <c r="AB53">
        <v>4473.6499718673958</v>
      </c>
      <c r="AC53">
        <v>2771.4285714285716</v>
      </c>
      <c r="AI53">
        <v>4310.164107957301</v>
      </c>
      <c r="AJ53">
        <v>619.99999999999989</v>
      </c>
    </row>
    <row r="54" spans="1:36" x14ac:dyDescent="0.25">
      <c r="A54">
        <v>5100</v>
      </c>
      <c r="B54">
        <v>555000</v>
      </c>
      <c r="C54">
        <v>308426.61725829978</v>
      </c>
      <c r="D54">
        <v>629000</v>
      </c>
      <c r="E54">
        <v>370111.94070995977</v>
      </c>
      <c r="G54">
        <v>555000</v>
      </c>
      <c r="H54">
        <v>244690.82181554986</v>
      </c>
      <c r="I54">
        <v>629000</v>
      </c>
      <c r="J54">
        <v>263628.98617865983</v>
      </c>
      <c r="M54">
        <v>5590</v>
      </c>
      <c r="N54">
        <v>2390.552884577341</v>
      </c>
      <c r="T54">
        <v>5590</v>
      </c>
      <c r="U54">
        <v>5265.5428571428574</v>
      </c>
      <c r="AB54">
        <v>4478.0175127061275</v>
      </c>
      <c r="AC54">
        <v>2826.8571428571431</v>
      </c>
      <c r="AI54">
        <v>4316.4810601685685</v>
      </c>
      <c r="AJ54">
        <v>650.68571428571408</v>
      </c>
    </row>
    <row r="55" spans="1:36" x14ac:dyDescent="0.25">
      <c r="A55">
        <v>5200</v>
      </c>
      <c r="B55">
        <v>555000</v>
      </c>
      <c r="C55">
        <v>303971.61725829978</v>
      </c>
      <c r="D55">
        <v>629000</v>
      </c>
      <c r="E55">
        <v>364765.94070995977</v>
      </c>
      <c r="G55">
        <v>555000</v>
      </c>
      <c r="H55">
        <v>240235.82181554986</v>
      </c>
      <c r="I55">
        <v>629000</v>
      </c>
      <c r="J55">
        <v>258282.9861786598</v>
      </c>
      <c r="M55">
        <v>5590</v>
      </c>
      <c r="N55">
        <v>2351.5366171286159</v>
      </c>
      <c r="T55">
        <v>5590</v>
      </c>
      <c r="U55">
        <v>5282.5142857142864</v>
      </c>
      <c r="AB55">
        <v>4482.3262538077206</v>
      </c>
      <c r="AC55">
        <v>2882.2857142857147</v>
      </c>
      <c r="AI55">
        <v>4322.7285837573709</v>
      </c>
      <c r="AJ55">
        <v>681.37142857142874</v>
      </c>
    </row>
    <row r="56" spans="1:36" x14ac:dyDescent="0.25">
      <c r="A56">
        <v>5300</v>
      </c>
      <c r="B56">
        <v>555000</v>
      </c>
      <c r="C56">
        <v>299516.61725829978</v>
      </c>
      <c r="D56">
        <v>629000</v>
      </c>
      <c r="E56">
        <v>359419.94070995977</v>
      </c>
      <c r="G56">
        <v>555000</v>
      </c>
      <c r="H56">
        <v>235780.82181554986</v>
      </c>
      <c r="I56">
        <v>629000</v>
      </c>
      <c r="J56">
        <v>252936.9861786598</v>
      </c>
      <c r="M56">
        <v>5590</v>
      </c>
      <c r="N56">
        <v>2312.5203496798904</v>
      </c>
      <c r="T56">
        <v>5590</v>
      </c>
      <c r="U56">
        <v>5299.4857142857154</v>
      </c>
      <c r="AB56">
        <v>4486.5764361839392</v>
      </c>
      <c r="AC56">
        <v>2937.7142857142853</v>
      </c>
      <c r="AI56">
        <v>4328.9071295750682</v>
      </c>
      <c r="AJ56">
        <v>712.05714285714248</v>
      </c>
    </row>
    <row r="57" spans="1:36" x14ac:dyDescent="0.25">
      <c r="A57">
        <v>5400</v>
      </c>
      <c r="B57">
        <v>555000</v>
      </c>
      <c r="C57">
        <v>295061.61725829978</v>
      </c>
      <c r="D57">
        <v>629000</v>
      </c>
      <c r="E57">
        <v>354073.94070995977</v>
      </c>
      <c r="G57">
        <v>555000</v>
      </c>
      <c r="H57">
        <v>231325.82181554986</v>
      </c>
      <c r="I57">
        <v>629000</v>
      </c>
      <c r="J57">
        <v>247590.9861786598</v>
      </c>
      <c r="M57">
        <v>5590</v>
      </c>
      <c r="N57">
        <v>2273.5040822311653</v>
      </c>
      <c r="T57">
        <v>5590</v>
      </c>
      <c r="U57">
        <v>5316.4571428571426</v>
      </c>
      <c r="AB57">
        <v>4490.7682941359653</v>
      </c>
      <c r="AC57">
        <v>2993.1428571428569</v>
      </c>
      <c r="AI57">
        <v>4335.0171411138808</v>
      </c>
      <c r="AJ57">
        <v>742.74285714285713</v>
      </c>
    </row>
    <row r="58" spans="1:36" x14ac:dyDescent="0.25">
      <c r="A58">
        <v>5500</v>
      </c>
      <c r="B58">
        <v>555000</v>
      </c>
      <c r="C58">
        <v>290606.61725829978</v>
      </c>
      <c r="D58">
        <v>629000</v>
      </c>
      <c r="E58">
        <v>348727.94070995977</v>
      </c>
      <c r="G58">
        <v>555000</v>
      </c>
      <c r="H58">
        <v>226870.82181554986</v>
      </c>
      <c r="I58">
        <v>629000</v>
      </c>
      <c r="J58">
        <v>242244.9861786598</v>
      </c>
      <c r="M58">
        <v>5590</v>
      </c>
      <c r="N58">
        <v>2234.4878147824397</v>
      </c>
      <c r="T58">
        <v>5590</v>
      </c>
      <c r="U58">
        <v>5333.4285714285716</v>
      </c>
      <c r="AB58">
        <v>4494.9020552379161</v>
      </c>
      <c r="AC58">
        <v>3048.5714285714284</v>
      </c>
      <c r="AI58">
        <v>4341.0590545630785</v>
      </c>
      <c r="AJ58">
        <v>773.42857142857133</v>
      </c>
    </row>
    <row r="59" spans="1:36" x14ac:dyDescent="0.25">
      <c r="A59">
        <v>5600</v>
      </c>
      <c r="B59">
        <v>555000</v>
      </c>
      <c r="C59">
        <v>286151.61725829978</v>
      </c>
      <c r="D59">
        <v>629000</v>
      </c>
      <c r="E59">
        <v>343381.94070995977</v>
      </c>
      <c r="G59">
        <v>555000</v>
      </c>
      <c r="H59">
        <v>222415.82181554986</v>
      </c>
      <c r="I59">
        <v>629000</v>
      </c>
      <c r="J59">
        <v>236898.9861786598</v>
      </c>
      <c r="M59">
        <v>5590</v>
      </c>
      <c r="N59">
        <v>2195.4715473337142</v>
      </c>
      <c r="T59">
        <v>5590</v>
      </c>
      <c r="U59">
        <v>5350.4000000000005</v>
      </c>
      <c r="AB59">
        <v>4498.9779403178063</v>
      </c>
      <c r="AC59">
        <v>3104</v>
      </c>
      <c r="AI59">
        <v>4347.033298862676</v>
      </c>
      <c r="AJ59">
        <v>804.11428571428553</v>
      </c>
    </row>
    <row r="60" spans="1:36" x14ac:dyDescent="0.25">
      <c r="A60">
        <v>5700</v>
      </c>
      <c r="B60">
        <v>555000</v>
      </c>
      <c r="C60">
        <v>281696.61725829978</v>
      </c>
      <c r="D60">
        <v>629000</v>
      </c>
      <c r="E60">
        <v>338035.94070995977</v>
      </c>
      <c r="G60">
        <v>555000</v>
      </c>
      <c r="H60">
        <v>217960.82181554986</v>
      </c>
      <c r="I60">
        <v>629000</v>
      </c>
      <c r="J60">
        <v>231552.9861786598</v>
      </c>
      <c r="M60">
        <v>5590</v>
      </c>
      <c r="N60">
        <v>2156.4552798849895</v>
      </c>
      <c r="T60">
        <v>5590</v>
      </c>
      <c r="U60">
        <v>5367.3714285714304</v>
      </c>
      <c r="AB60">
        <v>4502.9961634358833</v>
      </c>
      <c r="AC60">
        <v>3159.4285714285716</v>
      </c>
      <c r="AI60">
        <v>4352.9402957546999</v>
      </c>
      <c r="AJ60">
        <v>834.79999999999961</v>
      </c>
    </row>
    <row r="61" spans="1:36" x14ac:dyDescent="0.25">
      <c r="A61">
        <v>5800</v>
      </c>
      <c r="B61">
        <v>555000</v>
      </c>
      <c r="C61">
        <v>277241.61725829978</v>
      </c>
      <c r="D61">
        <v>629000</v>
      </c>
      <c r="E61">
        <v>332689.94070995977</v>
      </c>
      <c r="G61">
        <v>555000</v>
      </c>
      <c r="H61">
        <v>213505.82181554986</v>
      </c>
      <c r="I61">
        <v>629000</v>
      </c>
      <c r="J61">
        <v>226206.9861786598</v>
      </c>
      <c r="M61">
        <v>5590</v>
      </c>
      <c r="N61">
        <v>2117.439012436264</v>
      </c>
      <c r="T61">
        <v>5590</v>
      </c>
      <c r="U61">
        <v>5384.3428571428576</v>
      </c>
      <c r="AB61">
        <v>4506.9569318603453</v>
      </c>
      <c r="AC61">
        <v>3214.8571428571427</v>
      </c>
      <c r="AI61">
        <v>4358.7804598320308</v>
      </c>
      <c r="AJ61">
        <v>865.48571428571381</v>
      </c>
    </row>
    <row r="62" spans="1:36" x14ac:dyDescent="0.25">
      <c r="A62">
        <v>5900</v>
      </c>
      <c r="B62">
        <v>555000</v>
      </c>
      <c r="C62">
        <v>272786.61725829978</v>
      </c>
      <c r="D62">
        <v>629000</v>
      </c>
      <c r="E62">
        <v>327343.94070995977</v>
      </c>
      <c r="G62">
        <v>555000</v>
      </c>
      <c r="H62">
        <v>209050.82181554986</v>
      </c>
      <c r="I62">
        <v>629000</v>
      </c>
      <c r="J62">
        <v>220860.9861786598</v>
      </c>
      <c r="M62">
        <v>5590</v>
      </c>
      <c r="N62">
        <v>2078.4227449875389</v>
      </c>
      <c r="T62">
        <v>5590</v>
      </c>
      <c r="U62">
        <v>5401.3142857142866</v>
      </c>
      <c r="AB62">
        <v>4510.8604460403376</v>
      </c>
      <c r="AC62">
        <v>3270.2857142857142</v>
      </c>
      <c r="AI62">
        <v>4364.5541985848222</v>
      </c>
      <c r="AJ62">
        <v>896.17142857142846</v>
      </c>
    </row>
    <row r="63" spans="1:36" x14ac:dyDescent="0.25">
      <c r="A63">
        <v>6000</v>
      </c>
      <c r="B63">
        <v>555000</v>
      </c>
      <c r="C63">
        <v>268331.61725829978</v>
      </c>
      <c r="D63">
        <v>629000</v>
      </c>
      <c r="E63">
        <v>321997.94070995977</v>
      </c>
      <c r="G63">
        <v>555000</v>
      </c>
      <c r="H63">
        <v>204595.82181554986</v>
      </c>
      <c r="I63">
        <v>629000</v>
      </c>
      <c r="J63">
        <v>215514.9861786598</v>
      </c>
      <c r="M63">
        <v>5590</v>
      </c>
      <c r="N63">
        <v>2039.4064775388133</v>
      </c>
      <c r="T63">
        <v>5590</v>
      </c>
      <c r="U63">
        <v>5418.2857142857156</v>
      </c>
      <c r="AB63">
        <v>4514.706899576252</v>
      </c>
      <c r="AC63">
        <v>3325.7142857142858</v>
      </c>
      <c r="AI63">
        <v>4370.2619124445464</v>
      </c>
      <c r="AJ63">
        <v>926.85714285714266</v>
      </c>
    </row>
    <row r="64" spans="1:36" x14ac:dyDescent="0.25">
      <c r="A64">
        <v>6100</v>
      </c>
      <c r="B64">
        <v>555000</v>
      </c>
      <c r="C64">
        <v>263876.61725829978</v>
      </c>
      <c r="D64">
        <v>629000</v>
      </c>
      <c r="E64">
        <v>316651.94070995977</v>
      </c>
      <c r="G64">
        <v>555000</v>
      </c>
      <c r="H64">
        <v>200140.82181554986</v>
      </c>
      <c r="I64">
        <v>629000</v>
      </c>
      <c r="J64">
        <v>210168.9861786598</v>
      </c>
      <c r="M64">
        <v>5590</v>
      </c>
      <c r="N64">
        <v>2000.3902100900884</v>
      </c>
      <c r="T64">
        <v>5590</v>
      </c>
      <c r="U64">
        <v>5435.2571428571428</v>
      </c>
      <c r="AB64">
        <v>4518.4964791872362</v>
      </c>
      <c r="AC64">
        <v>3381.1428571428573</v>
      </c>
      <c r="AI64">
        <v>4375.9039948256668</v>
      </c>
      <c r="AJ64">
        <v>957.54285714285686</v>
      </c>
    </row>
    <row r="65" spans="1:36" x14ac:dyDescent="0.25">
      <c r="A65">
        <v>6200</v>
      </c>
      <c r="B65">
        <v>555000</v>
      </c>
      <c r="C65">
        <v>259421.61725829978</v>
      </c>
      <c r="D65">
        <v>629000</v>
      </c>
      <c r="E65">
        <v>311305.94070995977</v>
      </c>
      <c r="G65">
        <v>555000</v>
      </c>
      <c r="H65">
        <v>195685.82181554986</v>
      </c>
      <c r="I65">
        <v>629000</v>
      </c>
      <c r="J65">
        <v>204822.9861786598</v>
      </c>
      <c r="M65">
        <v>5590</v>
      </c>
      <c r="N65">
        <v>1961.3739426413629</v>
      </c>
      <c r="T65">
        <v>5590</v>
      </c>
      <c r="U65">
        <v>5452.2285714285717</v>
      </c>
      <c r="AB65">
        <v>4522.2293646758899</v>
      </c>
      <c r="AC65">
        <v>3436.5714285714289</v>
      </c>
      <c r="AI65">
        <v>4381.4808321649498</v>
      </c>
      <c r="AJ65">
        <v>988.22857142857106</v>
      </c>
    </row>
    <row r="66" spans="1:36" x14ac:dyDescent="0.25">
      <c r="A66">
        <v>6300</v>
      </c>
      <c r="B66">
        <v>555000</v>
      </c>
      <c r="C66">
        <v>254966.61725829978</v>
      </c>
      <c r="D66">
        <v>629000</v>
      </c>
      <c r="E66">
        <v>305959.94070995977</v>
      </c>
      <c r="G66">
        <v>555000</v>
      </c>
      <c r="H66">
        <v>191230.82181554986</v>
      </c>
      <c r="I66">
        <v>629000</v>
      </c>
      <c r="J66">
        <v>199476.9861786598</v>
      </c>
      <c r="M66">
        <v>5590</v>
      </c>
      <c r="N66">
        <v>1922.3576751926378</v>
      </c>
      <c r="T66">
        <v>5590</v>
      </c>
      <c r="U66">
        <v>5469.2000000000007</v>
      </c>
      <c r="AB66">
        <v>4525.9057288900876</v>
      </c>
      <c r="AC66">
        <v>3492.0000000000005</v>
      </c>
      <c r="AI66">
        <v>4386.9928039584311</v>
      </c>
      <c r="AJ66">
        <v>1018.9142857142857</v>
      </c>
    </row>
    <row r="67" spans="1:36" x14ac:dyDescent="0.25">
      <c r="A67">
        <v>6400</v>
      </c>
      <c r="B67">
        <v>555000</v>
      </c>
      <c r="C67">
        <v>250511.61725829978</v>
      </c>
      <c r="D67">
        <v>629000</v>
      </c>
      <c r="E67">
        <v>300613.94070995977</v>
      </c>
      <c r="G67">
        <v>555000</v>
      </c>
      <c r="H67">
        <v>186775.82181554986</v>
      </c>
      <c r="I67">
        <v>629000</v>
      </c>
      <c r="J67">
        <v>194130.9861786598</v>
      </c>
      <c r="M67">
        <v>5590</v>
      </c>
      <c r="N67">
        <v>1883.3414077439122</v>
      </c>
      <c r="T67">
        <v>5590</v>
      </c>
      <c r="U67">
        <v>5486.1714285714297</v>
      </c>
      <c r="AB67">
        <v>4529.5257376818763</v>
      </c>
      <c r="AC67">
        <v>3547.4285714285711</v>
      </c>
      <c r="AI67">
        <v>4392.4402827960521</v>
      </c>
      <c r="AJ67">
        <v>1049.5999999999999</v>
      </c>
    </row>
    <row r="68" spans="1:36" x14ac:dyDescent="0.25">
      <c r="A68">
        <v>6500</v>
      </c>
      <c r="B68">
        <v>555000</v>
      </c>
      <c r="C68">
        <v>246056.61725829978</v>
      </c>
      <c r="D68">
        <v>629000</v>
      </c>
      <c r="E68">
        <v>295267.94070995977</v>
      </c>
      <c r="G68">
        <v>555000</v>
      </c>
      <c r="H68">
        <v>182320.82181554986</v>
      </c>
      <c r="I68">
        <v>629000</v>
      </c>
      <c r="J68">
        <v>188784.9861786598</v>
      </c>
      <c r="M68">
        <v>5590</v>
      </c>
      <c r="N68">
        <v>1844.3251402951867</v>
      </c>
      <c r="T68">
        <v>5590</v>
      </c>
      <c r="U68">
        <v>5503.1428571428578</v>
      </c>
      <c r="AB68">
        <v>4533.0895498633909</v>
      </c>
      <c r="AC68">
        <v>3602.8571428571427</v>
      </c>
      <c r="AI68">
        <v>4397.8236343939661</v>
      </c>
      <c r="AJ68">
        <v>1080.2857142857135</v>
      </c>
    </row>
    <row r="69" spans="1:36" x14ac:dyDescent="0.25">
      <c r="A69">
        <v>6600</v>
      </c>
      <c r="B69">
        <v>555000</v>
      </c>
      <c r="C69">
        <v>241601.61725829978</v>
      </c>
      <c r="D69">
        <v>629000</v>
      </c>
      <c r="E69">
        <v>289921.94070995977</v>
      </c>
      <c r="G69">
        <v>555000</v>
      </c>
      <c r="H69">
        <v>177865.82181554986</v>
      </c>
      <c r="I69">
        <v>629000</v>
      </c>
      <c r="J69">
        <v>183438.9861786598</v>
      </c>
      <c r="M69">
        <v>5590</v>
      </c>
      <c r="N69">
        <v>1805.3088728464618</v>
      </c>
      <c r="T69">
        <v>5590</v>
      </c>
      <c r="U69">
        <v>5520.1142857142868</v>
      </c>
      <c r="AB69">
        <v>4536.5973171597316</v>
      </c>
      <c r="AC69">
        <v>3658.2857142857142</v>
      </c>
      <c r="AI69">
        <v>4403.1432176245416</v>
      </c>
      <c r="AJ69">
        <v>1110.9714285714283</v>
      </c>
    </row>
    <row r="70" spans="1:36" x14ac:dyDescent="0.25">
      <c r="A70">
        <v>6700</v>
      </c>
      <c r="B70">
        <v>555000</v>
      </c>
      <c r="C70">
        <v>237146.61725829978</v>
      </c>
      <c r="D70">
        <v>629000</v>
      </c>
      <c r="E70">
        <v>284575.94070995977</v>
      </c>
      <c r="G70">
        <v>555000</v>
      </c>
      <c r="H70">
        <v>173410.82181554986</v>
      </c>
      <c r="I70">
        <v>629000</v>
      </c>
      <c r="J70">
        <v>178092.9861786598</v>
      </c>
      <c r="M70">
        <v>5590</v>
      </c>
      <c r="N70">
        <v>1766.2926053977362</v>
      </c>
      <c r="T70">
        <v>5590</v>
      </c>
      <c r="U70">
        <v>5537.0857142857149</v>
      </c>
      <c r="AB70">
        <v>4540.0491841587282</v>
      </c>
      <c r="AC70">
        <v>3713.7142857142858</v>
      </c>
      <c r="AI70">
        <v>4408.39938454403</v>
      </c>
      <c r="AJ70">
        <v>1141.6571428571424</v>
      </c>
    </row>
    <row r="71" spans="1:36" x14ac:dyDescent="0.25">
      <c r="A71">
        <v>6800</v>
      </c>
      <c r="B71">
        <v>555000</v>
      </c>
      <c r="C71">
        <v>232691.61725829978</v>
      </c>
      <c r="D71">
        <v>629000</v>
      </c>
      <c r="E71">
        <v>279229.94070995977</v>
      </c>
      <c r="G71">
        <v>555000</v>
      </c>
      <c r="H71">
        <v>168955.82181554986</v>
      </c>
      <c r="I71">
        <v>629000</v>
      </c>
      <c r="J71">
        <v>172746.9861786598</v>
      </c>
      <c r="M71">
        <v>5590</v>
      </c>
      <c r="N71">
        <v>1727.2763379490111</v>
      </c>
      <c r="T71">
        <v>5590</v>
      </c>
      <c r="U71">
        <v>5554.0571428571429</v>
      </c>
      <c r="AB71">
        <v>4543.4452882575542</v>
      </c>
      <c r="AC71">
        <v>3769.1428571428569</v>
      </c>
      <c r="AI71">
        <v>4413.592480417954</v>
      </c>
      <c r="AJ71">
        <v>1172.3428571428572</v>
      </c>
    </row>
    <row r="72" spans="1:36" x14ac:dyDescent="0.25">
      <c r="A72">
        <v>6900</v>
      </c>
      <c r="B72">
        <v>555000</v>
      </c>
      <c r="C72">
        <v>228236.61725829978</v>
      </c>
      <c r="D72">
        <v>629000</v>
      </c>
      <c r="E72">
        <v>273883.94070995977</v>
      </c>
      <c r="G72">
        <v>555000</v>
      </c>
      <c r="H72">
        <v>164500.82181554986</v>
      </c>
      <c r="I72">
        <v>629000</v>
      </c>
      <c r="J72">
        <v>167400.9861786598</v>
      </c>
      <c r="M72">
        <v>5590</v>
      </c>
      <c r="N72">
        <v>1688.2600705002858</v>
      </c>
      <c r="T72">
        <v>5590</v>
      </c>
      <c r="U72">
        <v>5571.0285714285719</v>
      </c>
      <c r="AB72">
        <v>4546.7857596060639</v>
      </c>
      <c r="AC72">
        <v>3824.5714285714284</v>
      </c>
      <c r="AI72">
        <v>4418.7228437441672</v>
      </c>
      <c r="AJ72">
        <v>1203.0285714285708</v>
      </c>
    </row>
    <row r="73" spans="1:36" x14ac:dyDescent="0.25">
      <c r="A73">
        <v>7000</v>
      </c>
      <c r="B73">
        <v>555000</v>
      </c>
      <c r="C73">
        <v>223781.61725829978</v>
      </c>
      <c r="D73">
        <v>629000</v>
      </c>
      <c r="E73">
        <v>268537.94070995977</v>
      </c>
      <c r="G73">
        <v>555000</v>
      </c>
      <c r="H73">
        <v>160045.82181554986</v>
      </c>
      <c r="I73">
        <v>629000</v>
      </c>
      <c r="J73">
        <v>162054.9861786598</v>
      </c>
      <c r="M73">
        <v>5590</v>
      </c>
      <c r="N73">
        <v>1649.2438030515607</v>
      </c>
      <c r="T73">
        <v>5590</v>
      </c>
      <c r="U73">
        <v>5588</v>
      </c>
      <c r="AB73">
        <v>4550.0707210468563</v>
      </c>
      <c r="AC73">
        <v>3880</v>
      </c>
      <c r="AI73">
        <v>4423.7908062736306</v>
      </c>
      <c r="AJ73">
        <v>1233.714285714286</v>
      </c>
    </row>
    <row r="74" spans="1:36" x14ac:dyDescent="0.25">
      <c r="A74">
        <v>7100</v>
      </c>
      <c r="B74">
        <v>683000</v>
      </c>
      <c r="C74">
        <v>219326.61725829978</v>
      </c>
      <c r="D74">
        <v>749000</v>
      </c>
      <c r="E74">
        <v>263191.94070995977</v>
      </c>
      <c r="G74">
        <v>683000</v>
      </c>
      <c r="H74">
        <v>155590.82181554986</v>
      </c>
      <c r="I74">
        <v>749000</v>
      </c>
      <c r="J74">
        <v>156708.9861786598</v>
      </c>
      <c r="M74">
        <v>7150</v>
      </c>
      <c r="N74">
        <v>1610.2275356028351</v>
      </c>
      <c r="T74">
        <v>6890</v>
      </c>
      <c r="U74">
        <v>5604.9714285714299</v>
      </c>
      <c r="AB74">
        <v>4977.9899425287676</v>
      </c>
      <c r="AC74">
        <v>3935.4285714285716</v>
      </c>
      <c r="AI74">
        <v>4880.3319825661865</v>
      </c>
      <c r="AJ74">
        <v>1264.4000000000001</v>
      </c>
    </row>
    <row r="75" spans="1:36" x14ac:dyDescent="0.25">
      <c r="A75">
        <v>7200</v>
      </c>
      <c r="B75">
        <v>683000</v>
      </c>
      <c r="C75">
        <v>214871.61725829978</v>
      </c>
      <c r="D75">
        <v>749000</v>
      </c>
      <c r="E75">
        <v>257845.94070995974</v>
      </c>
      <c r="G75">
        <v>683000</v>
      </c>
      <c r="H75">
        <v>151135.82181554986</v>
      </c>
      <c r="I75">
        <v>749000</v>
      </c>
      <c r="J75">
        <v>151362.9861786598</v>
      </c>
      <c r="M75">
        <v>7150</v>
      </c>
      <c r="N75">
        <v>1571.2112681541103</v>
      </c>
      <c r="T75">
        <v>6890</v>
      </c>
      <c r="U75">
        <v>5621.942857142858</v>
      </c>
      <c r="AB75">
        <v>4980.5928563123698</v>
      </c>
      <c r="AC75">
        <v>3990.8571428571431</v>
      </c>
      <c r="AI75">
        <v>4884.114253917367</v>
      </c>
      <c r="AJ75">
        <v>1295.0857142857137</v>
      </c>
    </row>
    <row r="76" spans="1:36" x14ac:dyDescent="0.25">
      <c r="A76">
        <v>7300</v>
      </c>
      <c r="B76">
        <v>683000</v>
      </c>
      <c r="C76">
        <v>210416.61725829978</v>
      </c>
      <c r="D76">
        <v>749000</v>
      </c>
      <c r="E76">
        <v>252499.94070995974</v>
      </c>
      <c r="G76">
        <v>683000</v>
      </c>
      <c r="H76">
        <v>146680.82181554986</v>
      </c>
      <c r="I76">
        <v>749000</v>
      </c>
      <c r="J76">
        <v>146016.9861786598</v>
      </c>
      <c r="M76">
        <v>7150</v>
      </c>
      <c r="N76">
        <v>1532.1950007053847</v>
      </c>
      <c r="T76">
        <v>6890</v>
      </c>
      <c r="U76">
        <v>5638.914285714287</v>
      </c>
      <c r="AB76">
        <v>4983.1605581944896</v>
      </c>
      <c r="AC76">
        <v>4046.2857142857147</v>
      </c>
      <c r="AI76">
        <v>4887.8543081755306</v>
      </c>
      <c r="AJ76">
        <v>1325.771428571428</v>
      </c>
    </row>
    <row r="77" spans="1:36" x14ac:dyDescent="0.25">
      <c r="A77">
        <v>7400</v>
      </c>
      <c r="B77">
        <v>683000</v>
      </c>
      <c r="C77">
        <v>205961.61725829978</v>
      </c>
      <c r="D77">
        <v>749000</v>
      </c>
      <c r="E77">
        <v>247153.94070995974</v>
      </c>
      <c r="G77">
        <v>683000</v>
      </c>
      <c r="H77">
        <v>142225.82181554986</v>
      </c>
      <c r="I77">
        <v>749000</v>
      </c>
      <c r="J77">
        <v>140670.9861786598</v>
      </c>
      <c r="M77">
        <v>7150</v>
      </c>
      <c r="N77">
        <v>1493.1787332566596</v>
      </c>
      <c r="T77">
        <v>6890</v>
      </c>
      <c r="U77">
        <v>5655.885714285715</v>
      </c>
      <c r="AB77">
        <v>4985.6932248104395</v>
      </c>
      <c r="AC77">
        <v>4101.7142857142862</v>
      </c>
      <c r="AI77">
        <v>4891.5524237065574</v>
      </c>
      <c r="AJ77">
        <v>1356.4571428571426</v>
      </c>
    </row>
    <row r="78" spans="1:36" x14ac:dyDescent="0.25">
      <c r="A78">
        <v>7500</v>
      </c>
      <c r="B78">
        <v>683000</v>
      </c>
      <c r="C78">
        <v>201506.61725829978</v>
      </c>
      <c r="D78">
        <v>749000</v>
      </c>
      <c r="E78">
        <v>241807.94070995974</v>
      </c>
      <c r="G78">
        <v>683000</v>
      </c>
      <c r="H78">
        <v>137770.82181554986</v>
      </c>
      <c r="I78">
        <v>749000</v>
      </c>
      <c r="J78">
        <v>135324.9861786598</v>
      </c>
      <c r="M78">
        <v>7150</v>
      </c>
      <c r="N78">
        <v>1454.162465807934</v>
      </c>
      <c r="T78">
        <v>6890</v>
      </c>
      <c r="U78">
        <v>5672.8571428571431</v>
      </c>
      <c r="AB78">
        <v>4988.1910294070349</v>
      </c>
      <c r="AC78">
        <v>4157.1428571428578</v>
      </c>
      <c r="AI78">
        <v>4895.2088754804508</v>
      </c>
      <c r="AJ78">
        <v>1387.1428571428569</v>
      </c>
    </row>
    <row r="79" spans="1:36" x14ac:dyDescent="0.25">
      <c r="A79">
        <v>7600</v>
      </c>
      <c r="B79">
        <v>683000</v>
      </c>
      <c r="C79">
        <v>197051.61725829978</v>
      </c>
      <c r="D79">
        <v>749000</v>
      </c>
      <c r="E79">
        <v>236461.94070995974</v>
      </c>
      <c r="G79">
        <v>683000</v>
      </c>
      <c r="H79">
        <v>133315.82181554986</v>
      </c>
      <c r="I79">
        <v>749000</v>
      </c>
      <c r="J79">
        <v>129978.98617865982</v>
      </c>
      <c r="M79">
        <v>7150</v>
      </c>
      <c r="N79">
        <v>1415.1461983592087</v>
      </c>
      <c r="T79">
        <v>6890</v>
      </c>
      <c r="U79">
        <v>5689.8285714285721</v>
      </c>
      <c r="AB79">
        <v>4990.6541418289798</v>
      </c>
      <c r="AC79">
        <v>4212.5714285714284</v>
      </c>
      <c r="AI79">
        <v>4898.8239350836529</v>
      </c>
      <c r="AJ79">
        <v>1424.6857142857136</v>
      </c>
    </row>
    <row r="80" spans="1:36" x14ac:dyDescent="0.25">
      <c r="A80">
        <v>7700</v>
      </c>
      <c r="B80">
        <v>683000</v>
      </c>
      <c r="C80">
        <v>192596.61725829981</v>
      </c>
      <c r="D80">
        <v>749000</v>
      </c>
      <c r="E80">
        <v>231115.94070995977</v>
      </c>
      <c r="G80">
        <v>683000</v>
      </c>
      <c r="H80">
        <v>128860.82181554985</v>
      </c>
      <c r="I80">
        <v>749000</v>
      </c>
      <c r="J80">
        <v>124632.98617865982</v>
      </c>
      <c r="M80">
        <v>7150</v>
      </c>
      <c r="N80">
        <v>1376.1299309104836</v>
      </c>
      <c r="T80">
        <v>6890</v>
      </c>
      <c r="U80">
        <v>5706.8</v>
      </c>
      <c r="AB80">
        <v>4993.0827285042715</v>
      </c>
      <c r="AC80">
        <v>4268</v>
      </c>
      <c r="AI80">
        <v>4902.3978707305841</v>
      </c>
      <c r="AJ80">
        <v>1462.2285714285717</v>
      </c>
    </row>
    <row r="81" spans="1:36" x14ac:dyDescent="0.25">
      <c r="A81">
        <v>7800</v>
      </c>
      <c r="B81">
        <v>683000</v>
      </c>
      <c r="C81">
        <v>188141.61725829981</v>
      </c>
      <c r="D81">
        <v>749000</v>
      </c>
      <c r="E81">
        <v>225769.94070995977</v>
      </c>
      <c r="G81">
        <v>683000</v>
      </c>
      <c r="H81">
        <v>124405.82181554985</v>
      </c>
      <c r="I81">
        <v>749000</v>
      </c>
      <c r="J81">
        <v>119286.98617865982</v>
      </c>
      <c r="M81">
        <v>7150</v>
      </c>
      <c r="N81">
        <v>1337.1136634617581</v>
      </c>
      <c r="T81">
        <v>6890</v>
      </c>
      <c r="U81">
        <v>5723.7714285714283</v>
      </c>
      <c r="AB81">
        <v>4995.4769524286094</v>
      </c>
      <c r="AC81">
        <v>4323.4285714285716</v>
      </c>
      <c r="AI81">
        <v>4905.930947274378</v>
      </c>
      <c r="AJ81">
        <v>1499.7714285714283</v>
      </c>
    </row>
    <row r="82" spans="1:36" x14ac:dyDescent="0.25">
      <c r="A82">
        <v>7900</v>
      </c>
      <c r="B82">
        <v>683000</v>
      </c>
      <c r="C82">
        <v>183686.61725829981</v>
      </c>
      <c r="D82">
        <v>749000</v>
      </c>
      <c r="E82">
        <v>220423.94070995977</v>
      </c>
      <c r="G82">
        <v>683000</v>
      </c>
      <c r="H82">
        <v>119950.82181554985</v>
      </c>
      <c r="I82">
        <v>749000</v>
      </c>
      <c r="J82">
        <v>113940.98617865982</v>
      </c>
      <c r="M82">
        <v>7150</v>
      </c>
      <c r="N82">
        <v>1298.0973960130329</v>
      </c>
      <c r="T82">
        <v>6890</v>
      </c>
      <c r="U82">
        <v>5740.7428571428582</v>
      </c>
      <c r="AB82">
        <v>4997.836973148771</v>
      </c>
      <c r="AC82">
        <v>4378.8571428571431</v>
      </c>
      <c r="AI82">
        <v>4909.4234262168266</v>
      </c>
      <c r="AJ82">
        <v>1537.3142857142855</v>
      </c>
    </row>
    <row r="83" spans="1:36" x14ac:dyDescent="0.25">
      <c r="A83">
        <v>8000</v>
      </c>
      <c r="B83">
        <v>683000</v>
      </c>
      <c r="C83">
        <v>179231.61725829981</v>
      </c>
      <c r="D83">
        <v>749000</v>
      </c>
      <c r="E83">
        <v>215077.94070995977</v>
      </c>
      <c r="G83">
        <v>683000</v>
      </c>
      <c r="H83">
        <v>115495.82181554985</v>
      </c>
      <c r="I83">
        <v>749000</v>
      </c>
      <c r="J83">
        <v>108594.98617865982</v>
      </c>
      <c r="M83">
        <v>7150</v>
      </c>
      <c r="N83">
        <v>1259.0811285643076</v>
      </c>
      <c r="T83">
        <v>6890</v>
      </c>
      <c r="U83">
        <v>5757.7142857142853</v>
      </c>
      <c r="AB83">
        <v>5000.162946744972</v>
      </c>
      <c r="AC83">
        <v>4434.2857142857147</v>
      </c>
      <c r="AI83">
        <v>4912.8755657175252</v>
      </c>
      <c r="AJ83">
        <v>1574.8571428571422</v>
      </c>
    </row>
    <row r="84" spans="1:36" x14ac:dyDescent="0.25">
      <c r="A84">
        <v>8100</v>
      </c>
      <c r="B84">
        <v>683000</v>
      </c>
      <c r="C84">
        <v>174776.61725829981</v>
      </c>
      <c r="D84">
        <v>749000</v>
      </c>
      <c r="E84">
        <v>209731.94070995977</v>
      </c>
      <c r="G84">
        <v>683000</v>
      </c>
      <c r="H84">
        <v>111040.82181554985</v>
      </c>
      <c r="I84">
        <v>749000</v>
      </c>
      <c r="J84">
        <v>103248.98617865982</v>
      </c>
      <c r="M84">
        <v>7150</v>
      </c>
      <c r="N84">
        <v>1220.0648611155825</v>
      </c>
      <c r="T84">
        <v>6890</v>
      </c>
      <c r="U84">
        <v>5774.6857142857143</v>
      </c>
      <c r="AB84">
        <v>5002.4550258121571</v>
      </c>
      <c r="AC84">
        <v>4489.7142857142853</v>
      </c>
      <c r="AI84">
        <v>4916.2876206022474</v>
      </c>
      <c r="AJ84">
        <v>1612.4000000000003</v>
      </c>
    </row>
    <row r="85" spans="1:36" x14ac:dyDescent="0.25">
      <c r="A85">
        <v>8200</v>
      </c>
      <c r="B85">
        <v>683000</v>
      </c>
      <c r="C85">
        <v>170321.61725829981</v>
      </c>
      <c r="D85">
        <v>749000</v>
      </c>
      <c r="E85">
        <v>204385.94070995977</v>
      </c>
      <c r="G85">
        <v>683000</v>
      </c>
      <c r="H85">
        <v>106585.82181554985</v>
      </c>
      <c r="I85">
        <v>749000</v>
      </c>
      <c r="J85">
        <v>97902.986178659819</v>
      </c>
      <c r="M85">
        <v>7150</v>
      </c>
      <c r="N85">
        <v>1181.048593666857</v>
      </c>
      <c r="T85">
        <v>6890</v>
      </c>
      <c r="U85">
        <v>5791.6571428571433</v>
      </c>
      <c r="AB85">
        <v>5004.7133594402421</v>
      </c>
      <c r="AC85">
        <v>4545.1428571428569</v>
      </c>
      <c r="AI85">
        <v>4919.6598423704881</v>
      </c>
      <c r="AJ85">
        <v>1649.9428571428571</v>
      </c>
    </row>
    <row r="86" spans="1:36" x14ac:dyDescent="0.25">
      <c r="A86">
        <v>8300</v>
      </c>
      <c r="B86">
        <v>683000</v>
      </c>
      <c r="C86">
        <v>165866.61725829981</v>
      </c>
      <c r="D86">
        <v>749000</v>
      </c>
      <c r="E86">
        <v>199039.94070995977</v>
      </c>
      <c r="G86">
        <v>683000</v>
      </c>
      <c r="H86">
        <v>102130.82181554985</v>
      </c>
      <c r="I86">
        <v>749000</v>
      </c>
      <c r="J86">
        <v>92556.986178659819</v>
      </c>
      <c r="M86">
        <v>7150</v>
      </c>
      <c r="N86">
        <v>1142.0323262181321</v>
      </c>
      <c r="T86">
        <v>6890</v>
      </c>
      <c r="U86">
        <v>5808.6285714285732</v>
      </c>
      <c r="AB86">
        <v>5006.938093193251</v>
      </c>
      <c r="AC86">
        <v>4600.5714285714284</v>
      </c>
      <c r="AI86">
        <v>4922.9924792022457</v>
      </c>
      <c r="AJ86">
        <v>1687.485714285714</v>
      </c>
    </row>
    <row r="87" spans="1:36" x14ac:dyDescent="0.25">
      <c r="A87">
        <v>8400</v>
      </c>
      <c r="B87">
        <v>683000</v>
      </c>
      <c r="C87">
        <v>161411.61725829981</v>
      </c>
      <c r="D87">
        <v>749000</v>
      </c>
      <c r="E87">
        <v>193693.94070995977</v>
      </c>
      <c r="G87">
        <v>683000</v>
      </c>
      <c r="H87">
        <v>97675.821815549847</v>
      </c>
      <c r="I87">
        <v>749000</v>
      </c>
      <c r="J87">
        <v>87210.986178659819</v>
      </c>
      <c r="M87">
        <v>7150</v>
      </c>
      <c r="N87">
        <v>1103.0160587694065</v>
      </c>
      <c r="T87">
        <v>6890</v>
      </c>
      <c r="U87">
        <v>5825.6000000000013</v>
      </c>
      <c r="AB87">
        <v>5009.1293690873554</v>
      </c>
      <c r="AC87">
        <v>4656</v>
      </c>
      <c r="AI87">
        <v>4926.2857759639755</v>
      </c>
      <c r="AJ87">
        <v>1725.0285714285708</v>
      </c>
    </row>
    <row r="88" spans="1:36" x14ac:dyDescent="0.25">
      <c r="B88">
        <v>249000</v>
      </c>
      <c r="C88">
        <v>75783.402328451717</v>
      </c>
      <c r="D88">
        <v>295000</v>
      </c>
      <c r="E88">
        <v>90940.082794142072</v>
      </c>
      <c r="G88">
        <v>249000</v>
      </c>
      <c r="H88">
        <v>163866.05202694651</v>
      </c>
      <c r="I88">
        <v>295000</v>
      </c>
      <c r="J88">
        <v>166639.26243233579</v>
      </c>
      <c r="T88">
        <v>7330</v>
      </c>
      <c r="U88">
        <v>86066.198793088828</v>
      </c>
      <c r="AB88">
        <v>7608.7853070825286</v>
      </c>
      <c r="AC88">
        <v>1882.8571428571436</v>
      </c>
      <c r="AI88">
        <v>7840.0195274990401</v>
      </c>
      <c r="AJ88">
        <v>4711.4285714285716</v>
      </c>
    </row>
    <row r="89" spans="1:36" x14ac:dyDescent="0.25">
      <c r="B89">
        <v>249000</v>
      </c>
      <c r="C89">
        <v>73758.402328451717</v>
      </c>
      <c r="D89">
        <v>295000</v>
      </c>
      <c r="E89">
        <v>88510.082794142072</v>
      </c>
      <c r="G89">
        <v>249000</v>
      </c>
      <c r="H89">
        <v>161841.05202694651</v>
      </c>
      <c r="I89">
        <v>295000</v>
      </c>
      <c r="J89">
        <v>164209.26243233579</v>
      </c>
      <c r="T89">
        <v>7330</v>
      </c>
      <c r="U89">
        <v>87019.598793088837</v>
      </c>
      <c r="AB89">
        <v>7620.8280327551438</v>
      </c>
      <c r="AC89">
        <v>1925.714285714286</v>
      </c>
      <c r="AI89">
        <v>7849.203499516977</v>
      </c>
      <c r="AJ89">
        <v>4766.8571428571422</v>
      </c>
    </row>
    <row r="90" spans="1:36" x14ac:dyDescent="0.25">
      <c r="B90">
        <v>249000</v>
      </c>
      <c r="C90">
        <v>71733.402328451717</v>
      </c>
      <c r="D90">
        <v>295000</v>
      </c>
      <c r="E90">
        <v>86080.082794142072</v>
      </c>
      <c r="G90">
        <v>249000</v>
      </c>
      <c r="H90">
        <v>159816.05202694651</v>
      </c>
      <c r="I90">
        <v>295000</v>
      </c>
      <c r="J90">
        <v>161779.26243233579</v>
      </c>
      <c r="T90">
        <v>7330</v>
      </c>
      <c r="U90">
        <v>87972.998793088816</v>
      </c>
      <c r="AB90">
        <v>7632.7383031443833</v>
      </c>
      <c r="AC90">
        <v>1968.5714285714291</v>
      </c>
      <c r="AI90">
        <v>7858.2549054637984</v>
      </c>
      <c r="AJ90">
        <v>4822.2857142857138</v>
      </c>
    </row>
    <row r="91" spans="1:36" x14ac:dyDescent="0.25">
      <c r="B91">
        <v>249000</v>
      </c>
      <c r="C91">
        <v>69708.402328451717</v>
      </c>
      <c r="D91">
        <v>295000</v>
      </c>
      <c r="E91">
        <v>83650.082794142072</v>
      </c>
      <c r="G91">
        <v>249000</v>
      </c>
      <c r="H91">
        <v>157791.05202694651</v>
      </c>
      <c r="I91">
        <v>295000</v>
      </c>
      <c r="J91">
        <v>159349.26243233579</v>
      </c>
      <c r="T91">
        <v>7330</v>
      </c>
      <c r="U91">
        <v>88926.398793088825</v>
      </c>
      <c r="AB91">
        <v>7644.5162377132792</v>
      </c>
      <c r="AC91">
        <v>2011.4285714285716</v>
      </c>
      <c r="AI91">
        <v>7867.173596587867</v>
      </c>
      <c r="AJ91">
        <v>4877.7142857142853</v>
      </c>
    </row>
    <row r="92" spans="1:36" x14ac:dyDescent="0.25">
      <c r="B92">
        <v>249000</v>
      </c>
      <c r="C92">
        <v>67683.402328451717</v>
      </c>
      <c r="D92">
        <v>295000</v>
      </c>
      <c r="E92">
        <v>81220.082794142072</v>
      </c>
      <c r="G92">
        <v>249000</v>
      </c>
      <c r="H92">
        <v>155766.05202694651</v>
      </c>
      <c r="I92">
        <v>295000</v>
      </c>
      <c r="J92">
        <v>156919.26243233579</v>
      </c>
      <c r="T92">
        <v>7330</v>
      </c>
      <c r="U92">
        <v>89879.798793088834</v>
      </c>
      <c r="AB92">
        <v>7656.1619442548017</v>
      </c>
      <c r="AC92">
        <v>2057.7142857142853</v>
      </c>
      <c r="AI92">
        <v>7875.9594105442038</v>
      </c>
      <c r="AJ92">
        <v>4933.1428571428569</v>
      </c>
    </row>
    <row r="93" spans="1:36" x14ac:dyDescent="0.25">
      <c r="B93">
        <v>249000</v>
      </c>
      <c r="C93">
        <v>65658.402328451717</v>
      </c>
      <c r="D93">
        <v>295000</v>
      </c>
      <c r="E93">
        <v>78790.082794142072</v>
      </c>
      <c r="G93">
        <v>249000</v>
      </c>
      <c r="H93">
        <v>153741.05202694651</v>
      </c>
      <c r="I93">
        <v>295000</v>
      </c>
      <c r="J93">
        <v>154489.26243233579</v>
      </c>
      <c r="T93">
        <v>7330</v>
      </c>
      <c r="U93">
        <v>90833.198793088828</v>
      </c>
      <c r="AB93">
        <v>7667.6755188531115</v>
      </c>
      <c r="AC93">
        <v>2104.0000000000005</v>
      </c>
      <c r="AI93">
        <v>7884.612171242703</v>
      </c>
      <c r="AJ93">
        <v>4988.5714285714284</v>
      </c>
    </row>
    <row r="94" spans="1:36" x14ac:dyDescent="0.25">
      <c r="B94">
        <v>249000</v>
      </c>
      <c r="C94">
        <v>63633.402328451724</v>
      </c>
      <c r="D94">
        <v>295000</v>
      </c>
      <c r="E94">
        <v>76360.082794142072</v>
      </c>
      <c r="G94">
        <v>249000</v>
      </c>
      <c r="H94">
        <v>151716.05202694651</v>
      </c>
      <c r="I94">
        <v>295000</v>
      </c>
      <c r="J94">
        <v>152059.26243233579</v>
      </c>
      <c r="T94">
        <v>7330</v>
      </c>
      <c r="U94">
        <v>91786.598793088837</v>
      </c>
      <c r="AB94">
        <v>7679.0570458404654</v>
      </c>
      <c r="AC94">
        <v>2150.2857142857151</v>
      </c>
      <c r="AI94">
        <v>7893.1316886897221</v>
      </c>
      <c r="AJ94">
        <v>5058.8571428571431</v>
      </c>
    </row>
    <row r="95" spans="1:36" x14ac:dyDescent="0.25">
      <c r="B95">
        <v>249000</v>
      </c>
      <c r="C95">
        <v>61608.402328451724</v>
      </c>
      <c r="D95">
        <v>295000</v>
      </c>
      <c r="E95">
        <v>73930.082794142072</v>
      </c>
      <c r="G95">
        <v>249000</v>
      </c>
      <c r="H95">
        <v>149691.05202694651</v>
      </c>
      <c r="I95">
        <v>295000</v>
      </c>
      <c r="J95">
        <v>149629.26243233579</v>
      </c>
      <c r="T95">
        <v>7330</v>
      </c>
      <c r="U95">
        <v>92739.998793088831</v>
      </c>
      <c r="AB95">
        <v>7690.3065977496717</v>
      </c>
      <c r="AC95">
        <v>2196.5714285714284</v>
      </c>
      <c r="AI95">
        <v>7901.5177588229353</v>
      </c>
      <c r="AJ95">
        <v>5129.1428571428569</v>
      </c>
    </row>
    <row r="96" spans="1:36" x14ac:dyDescent="0.25">
      <c r="B96">
        <v>249000</v>
      </c>
      <c r="C96">
        <v>59583.402328451724</v>
      </c>
      <c r="D96">
        <v>295000</v>
      </c>
      <c r="E96">
        <v>71500.082794142072</v>
      </c>
      <c r="G96">
        <v>249000</v>
      </c>
      <c r="H96">
        <v>147666.05202694651</v>
      </c>
      <c r="I96">
        <v>295000</v>
      </c>
      <c r="J96">
        <v>147199.26243233579</v>
      </c>
      <c r="T96">
        <v>7330</v>
      </c>
      <c r="U96">
        <v>93693.39879308884</v>
      </c>
      <c r="AB96">
        <v>7701.4242352620704</v>
      </c>
      <c r="AC96">
        <v>2242.8571428571431</v>
      </c>
      <c r="AI96">
        <v>7909.7701633392226</v>
      </c>
      <c r="AJ96">
        <v>5199.4285714285716</v>
      </c>
    </row>
    <row r="97" spans="2:36" x14ac:dyDescent="0.25">
      <c r="B97">
        <v>249000</v>
      </c>
      <c r="C97">
        <v>57558.402328451724</v>
      </c>
      <c r="D97">
        <v>295000</v>
      </c>
      <c r="E97">
        <v>69070.082794142072</v>
      </c>
      <c r="G97">
        <v>249000</v>
      </c>
      <c r="H97">
        <v>145641.05202694651</v>
      </c>
      <c r="I97">
        <v>295000</v>
      </c>
      <c r="J97">
        <v>144769.26243233579</v>
      </c>
      <c r="T97">
        <v>7330</v>
      </c>
      <c r="U97">
        <v>94646.798793088834</v>
      </c>
      <c r="AB97">
        <v>7712.4100071509838</v>
      </c>
      <c r="AC97">
        <v>2289.1428571428573</v>
      </c>
      <c r="AI97">
        <v>7917.8886695154433</v>
      </c>
      <c r="AJ97">
        <v>5269.7142857142853</v>
      </c>
    </row>
    <row r="98" spans="2:36" x14ac:dyDescent="0.25">
      <c r="B98">
        <v>249000</v>
      </c>
      <c r="C98">
        <v>55533.402328451724</v>
      </c>
      <c r="D98">
        <v>295000</v>
      </c>
      <c r="E98">
        <v>66640.082794142072</v>
      </c>
      <c r="G98">
        <v>249000</v>
      </c>
      <c r="H98">
        <v>143616.05202694651</v>
      </c>
      <c r="I98">
        <v>295000</v>
      </c>
      <c r="J98">
        <v>142339.26243233579</v>
      </c>
      <c r="T98">
        <v>7330</v>
      </c>
      <c r="U98">
        <v>95600.198793088828</v>
      </c>
      <c r="AB98">
        <v>7723.2639502205529</v>
      </c>
      <c r="AC98">
        <v>2335.428571428572</v>
      </c>
      <c r="AI98">
        <v>7925.873030021874</v>
      </c>
      <c r="AJ98">
        <v>5340</v>
      </c>
    </row>
    <row r="99" spans="2:36" x14ac:dyDescent="0.25">
      <c r="B99">
        <v>249000</v>
      </c>
      <c r="C99">
        <v>53508.402328451724</v>
      </c>
      <c r="D99">
        <v>295000</v>
      </c>
      <c r="E99">
        <v>64210.082794142072</v>
      </c>
      <c r="G99">
        <v>249000</v>
      </c>
      <c r="H99">
        <v>141591.05202694651</v>
      </c>
      <c r="I99">
        <v>295000</v>
      </c>
      <c r="J99">
        <v>139909.26243233579</v>
      </c>
      <c r="T99">
        <v>7330</v>
      </c>
      <c r="U99">
        <v>96553.598793088822</v>
      </c>
      <c r="AB99">
        <v>7733.9860892398783</v>
      </c>
      <c r="AC99">
        <v>2381.7142857142853</v>
      </c>
      <c r="AI99">
        <v>7933.7229827281008</v>
      </c>
      <c r="AJ99">
        <v>5410.2857142857147</v>
      </c>
    </row>
    <row r="100" spans="2:36" x14ac:dyDescent="0.25">
      <c r="B100">
        <v>249000</v>
      </c>
      <c r="C100">
        <v>51483.402328451724</v>
      </c>
      <c r="D100">
        <v>295000</v>
      </c>
      <c r="E100">
        <v>61780.082794142072</v>
      </c>
      <c r="G100">
        <v>249000</v>
      </c>
      <c r="H100">
        <v>139566.05202694651</v>
      </c>
      <c r="I100">
        <v>295000</v>
      </c>
      <c r="J100">
        <v>137479.26243233579</v>
      </c>
      <c r="T100">
        <v>7330</v>
      </c>
      <c r="U100">
        <v>97506.998793088831</v>
      </c>
      <c r="AB100">
        <v>7744.5764368724513</v>
      </c>
      <c r="AC100">
        <v>2428</v>
      </c>
      <c r="AI100">
        <v>7941.4382505011781</v>
      </c>
      <c r="AJ100">
        <v>5480.5714285714284</v>
      </c>
    </row>
    <row r="101" spans="2:36" x14ac:dyDescent="0.25">
      <c r="B101">
        <v>249000</v>
      </c>
      <c r="C101">
        <v>49458.402328451724</v>
      </c>
      <c r="D101">
        <v>295000</v>
      </c>
      <c r="E101">
        <v>59350.082794142072</v>
      </c>
      <c r="G101">
        <v>249000</v>
      </c>
      <c r="H101">
        <v>137541.05202694651</v>
      </c>
      <c r="I101">
        <v>295000</v>
      </c>
      <c r="J101">
        <v>135049.26243233579</v>
      </c>
      <c r="T101">
        <v>7330</v>
      </c>
      <c r="U101">
        <v>98460.398793088825</v>
      </c>
      <c r="AB101">
        <v>7755.0349936007178</v>
      </c>
      <c r="AC101">
        <v>2474.2857142857142</v>
      </c>
      <c r="AI101">
        <v>7949.0185409957849</v>
      </c>
      <c r="AJ101">
        <v>5550.8571428571431</v>
      </c>
    </row>
    <row r="102" spans="2:36" x14ac:dyDescent="0.25">
      <c r="B102">
        <v>249000</v>
      </c>
      <c r="C102">
        <v>47433.402328451732</v>
      </c>
      <c r="D102">
        <v>295000</v>
      </c>
      <c r="E102">
        <v>56920.082794142079</v>
      </c>
      <c r="G102">
        <v>249000</v>
      </c>
      <c r="H102">
        <v>135516.05202694651</v>
      </c>
      <c r="I102">
        <v>295000</v>
      </c>
      <c r="J102">
        <v>132619.26243233579</v>
      </c>
      <c r="T102">
        <v>7330</v>
      </c>
      <c r="U102">
        <v>99413.798793088834</v>
      </c>
      <c r="AB102">
        <v>7765.3617476457675</v>
      </c>
      <c r="AC102">
        <v>2520.5714285714289</v>
      </c>
      <c r="AI102">
        <v>7956.4635464361863</v>
      </c>
      <c r="AJ102">
        <v>5621.1428571428578</v>
      </c>
    </row>
    <row r="103" spans="2:36" x14ac:dyDescent="0.25">
      <c r="B103">
        <v>249000</v>
      </c>
      <c r="C103">
        <v>45408.402328451732</v>
      </c>
      <c r="D103">
        <v>295000</v>
      </c>
      <c r="E103">
        <v>54490.082794142079</v>
      </c>
      <c r="G103">
        <v>249000</v>
      </c>
      <c r="H103">
        <v>133491.05202694651</v>
      </c>
      <c r="I103">
        <v>295000</v>
      </c>
      <c r="J103">
        <v>130189.26243233579</v>
      </c>
      <c r="T103">
        <v>7330</v>
      </c>
      <c r="U103">
        <v>100367.19879308884</v>
      </c>
      <c r="AB103">
        <v>7775.5566748819901</v>
      </c>
      <c r="AC103">
        <v>2566.8571428571422</v>
      </c>
      <c r="AI103">
        <v>7963.7729433897139</v>
      </c>
      <c r="AJ103">
        <v>5691.4285714285716</v>
      </c>
    </row>
    <row r="104" spans="2:36" x14ac:dyDescent="0.25">
      <c r="B104">
        <v>249000</v>
      </c>
      <c r="C104">
        <v>43383.402328451732</v>
      </c>
      <c r="D104">
        <v>295000</v>
      </c>
      <c r="E104">
        <v>52060.082794142079</v>
      </c>
      <c r="G104">
        <v>249000</v>
      </c>
      <c r="H104">
        <v>131466.05202694651</v>
      </c>
      <c r="I104">
        <v>295000</v>
      </c>
      <c r="J104">
        <v>127759.26243233579</v>
      </c>
      <c r="T104">
        <v>7330</v>
      </c>
      <c r="U104">
        <v>101320.59879308884</v>
      </c>
      <c r="AB104">
        <v>7785.6197387466718</v>
      </c>
      <c r="AC104">
        <v>2613.1428571428578</v>
      </c>
      <c r="AI104">
        <v>7970.9463925315304</v>
      </c>
      <c r="AJ104">
        <v>5761.7142857142862</v>
      </c>
    </row>
    <row r="105" spans="2:36" x14ac:dyDescent="0.25">
      <c r="B105">
        <v>249000</v>
      </c>
      <c r="C105">
        <v>41358.402328451732</v>
      </c>
      <c r="D105">
        <v>295000</v>
      </c>
      <c r="E105">
        <v>49630.082794142079</v>
      </c>
      <c r="G105">
        <v>249000</v>
      </c>
      <c r="H105">
        <v>129441.05202694649</v>
      </c>
      <c r="I105">
        <v>295000</v>
      </c>
      <c r="J105">
        <v>125329.26243233579</v>
      </c>
      <c r="T105">
        <v>7330</v>
      </c>
      <c r="U105">
        <v>102321.59879308884</v>
      </c>
      <c r="AB105">
        <v>7795.5508901443945</v>
      </c>
      <c r="AC105">
        <v>2659.4285714285716</v>
      </c>
      <c r="AI105">
        <v>7977.9835384003882</v>
      </c>
      <c r="AJ105">
        <v>5832</v>
      </c>
    </row>
    <row r="106" spans="2:36" x14ac:dyDescent="0.25">
      <c r="B106">
        <v>249000</v>
      </c>
      <c r="C106">
        <v>39333.402328451732</v>
      </c>
      <c r="D106">
        <v>295000</v>
      </c>
      <c r="E106">
        <v>47200.082794142079</v>
      </c>
      <c r="G106">
        <v>249000</v>
      </c>
      <c r="H106">
        <v>127416.05202694649</v>
      </c>
      <c r="I106">
        <v>295000</v>
      </c>
      <c r="J106">
        <v>122899.26243233579</v>
      </c>
      <c r="T106">
        <v>7330</v>
      </c>
      <c r="U106">
        <v>103322.59879308884</v>
      </c>
      <c r="AB106">
        <v>7805.3500673461358</v>
      </c>
      <c r="AC106">
        <v>2705.7142857142858</v>
      </c>
      <c r="AI106">
        <v>7984.884009145112</v>
      </c>
      <c r="AJ106">
        <v>5902.2857142857147</v>
      </c>
    </row>
    <row r="107" spans="2:36" x14ac:dyDescent="0.25">
      <c r="B107">
        <v>249000</v>
      </c>
      <c r="C107">
        <v>37308.402328451732</v>
      </c>
      <c r="D107">
        <v>295000</v>
      </c>
      <c r="E107">
        <v>44770.082794142079</v>
      </c>
      <c r="G107">
        <v>249000</v>
      </c>
      <c r="H107">
        <v>125391.05202694649</v>
      </c>
      <c r="I107">
        <v>295000</v>
      </c>
      <c r="J107">
        <v>120469.26243233579</v>
      </c>
      <c r="T107">
        <v>7330</v>
      </c>
      <c r="U107">
        <v>104323.59879308884</v>
      </c>
      <c r="AB107">
        <v>7815.0171958829915</v>
      </c>
      <c r="AC107">
        <v>2751.9999999999995</v>
      </c>
      <c r="AI107">
        <v>7991.6474162615159</v>
      </c>
      <c r="AJ107">
        <v>5972.5714285714294</v>
      </c>
    </row>
    <row r="108" spans="2:36" x14ac:dyDescent="0.25">
      <c r="B108">
        <v>249000</v>
      </c>
      <c r="C108">
        <v>35283.402328451732</v>
      </c>
      <c r="D108">
        <v>295000</v>
      </c>
      <c r="E108">
        <v>42340.082794142079</v>
      </c>
      <c r="G108">
        <v>249000</v>
      </c>
      <c r="H108">
        <v>123366.05202694649</v>
      </c>
      <c r="I108">
        <v>295000</v>
      </c>
      <c r="J108">
        <v>118039.26243233579</v>
      </c>
      <c r="T108">
        <v>7330</v>
      </c>
      <c r="U108">
        <v>105324.59879308884</v>
      </c>
      <c r="AB108">
        <v>7824.5521884343698</v>
      </c>
      <c r="AC108">
        <v>2798.2857142857147</v>
      </c>
      <c r="AI108">
        <v>7998.2733543193963</v>
      </c>
      <c r="AJ108">
        <v>6042.8571428571431</v>
      </c>
    </row>
    <row r="109" spans="2:36" x14ac:dyDescent="0.25">
      <c r="B109">
        <v>249000</v>
      </c>
      <c r="C109">
        <v>33258.402328451732</v>
      </c>
      <c r="D109">
        <v>295000</v>
      </c>
      <c r="E109">
        <v>39910.082794142079</v>
      </c>
      <c r="G109">
        <v>249000</v>
      </c>
      <c r="H109">
        <v>121341.05202694649</v>
      </c>
      <c r="I109">
        <v>295000</v>
      </c>
      <c r="J109">
        <v>115609.26243233579</v>
      </c>
      <c r="T109">
        <v>7330</v>
      </c>
      <c r="U109">
        <v>106325.59879308884</v>
      </c>
      <c r="AB109">
        <v>7833.9549447105619</v>
      </c>
      <c r="AC109">
        <v>2844.5714285714284</v>
      </c>
      <c r="AI109">
        <v>8004.7614006793519</v>
      </c>
      <c r="AJ109">
        <v>6113.1428571428578</v>
      </c>
    </row>
    <row r="110" spans="2:36" x14ac:dyDescent="0.25">
      <c r="B110">
        <v>249000</v>
      </c>
      <c r="C110">
        <v>31233.402328451732</v>
      </c>
      <c r="D110">
        <v>295000</v>
      </c>
      <c r="E110">
        <v>37480.082794142079</v>
      </c>
      <c r="G110">
        <v>249000</v>
      </c>
      <c r="H110">
        <v>119316.05202694649</v>
      </c>
      <c r="I110">
        <v>295000</v>
      </c>
      <c r="J110">
        <v>113179.26243233579</v>
      </c>
      <c r="T110">
        <v>7330</v>
      </c>
      <c r="U110">
        <v>107326.59879308884</v>
      </c>
      <c r="AB110">
        <v>7843.2253513295636</v>
      </c>
      <c r="AC110">
        <v>2890.8571428571431</v>
      </c>
      <c r="AI110">
        <v>8011.1111151990071</v>
      </c>
      <c r="AJ110">
        <v>6183.4285714285706</v>
      </c>
    </row>
    <row r="111" spans="2:36" x14ac:dyDescent="0.25">
      <c r="B111">
        <v>249000</v>
      </c>
      <c r="C111">
        <v>29208.402328451732</v>
      </c>
      <c r="D111">
        <v>295000</v>
      </c>
      <c r="E111">
        <v>35050.082794142079</v>
      </c>
      <c r="G111">
        <v>249000</v>
      </c>
      <c r="H111">
        <v>117291.05202694649</v>
      </c>
      <c r="I111">
        <v>295000</v>
      </c>
      <c r="J111">
        <v>110749.26243233579</v>
      </c>
      <c r="T111">
        <v>7330</v>
      </c>
      <c r="U111">
        <v>108327.59879308884</v>
      </c>
      <c r="AB111">
        <v>7852.3632816879908</v>
      </c>
      <c r="AC111">
        <v>2937.1428571428582</v>
      </c>
      <c r="AI111">
        <v>8017.3220399283318</v>
      </c>
      <c r="AJ111">
        <v>6253.7142857142853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111"/>
  <sheetViews>
    <sheetView zoomScaleNormal="100" workbookViewId="0">
      <selection activeCell="E37" sqref="E37"/>
    </sheetView>
  </sheetViews>
  <sheetFormatPr defaultRowHeight="15.75" x14ac:dyDescent="0.25"/>
  <cols>
    <col min="2" max="2" width="16.625" bestFit="1" customWidth="1"/>
    <col min="3" max="3" width="13.5" customWidth="1"/>
    <col min="4" max="5" width="16.625" bestFit="1" customWidth="1"/>
    <col min="6" max="6" width="10.75" bestFit="1" customWidth="1"/>
    <col min="7" max="7" width="16.625" bestFit="1" customWidth="1"/>
    <col min="8" max="9" width="9.375" bestFit="1" customWidth="1"/>
    <col min="10" max="11" width="9.375" customWidth="1"/>
    <col min="12" max="12" width="7.375" customWidth="1"/>
    <col min="13" max="13" width="12.375" bestFit="1" customWidth="1"/>
  </cols>
  <sheetData>
    <row r="1" spans="1:38" x14ac:dyDescent="0.25">
      <c r="B1" s="199" t="s">
        <v>275</v>
      </c>
      <c r="C1" s="201"/>
      <c r="D1" s="201"/>
      <c r="E1" s="201"/>
      <c r="F1" s="201" t="s">
        <v>281</v>
      </c>
      <c r="G1" s="199"/>
      <c r="H1" s="199"/>
      <c r="I1" s="199"/>
      <c r="J1" s="199"/>
      <c r="K1" s="199"/>
      <c r="L1" s="199"/>
      <c r="M1" s="199" t="s">
        <v>282</v>
      </c>
      <c r="N1" s="199"/>
      <c r="O1" s="199"/>
      <c r="P1" s="199"/>
      <c r="Q1" s="199"/>
      <c r="R1" s="199"/>
      <c r="S1" s="199"/>
      <c r="T1" s="199" t="s">
        <v>286</v>
      </c>
      <c r="U1" s="199"/>
      <c r="V1" s="199"/>
      <c r="W1" s="199"/>
      <c r="X1" s="199"/>
      <c r="Y1" s="199"/>
      <c r="Z1" s="199"/>
      <c r="AA1" s="199" t="s">
        <v>279</v>
      </c>
      <c r="AB1" s="199"/>
      <c r="AC1" s="199"/>
      <c r="AD1" s="199"/>
      <c r="AE1" s="199"/>
      <c r="AF1" s="199"/>
      <c r="AG1" s="199"/>
      <c r="AH1" s="199" t="s">
        <v>285</v>
      </c>
      <c r="AI1" s="199"/>
      <c r="AJ1" s="199"/>
      <c r="AK1" s="199"/>
      <c r="AL1" s="199"/>
    </row>
    <row r="2" spans="1:38" x14ac:dyDescent="0.25">
      <c r="B2" s="133" t="s">
        <v>260</v>
      </c>
      <c r="C2" s="133" t="s">
        <v>244</v>
      </c>
      <c r="D2" t="s">
        <v>263</v>
      </c>
      <c r="E2" t="s">
        <v>243</v>
      </c>
      <c r="F2" t="s">
        <v>260</v>
      </c>
      <c r="G2" t="s">
        <v>244</v>
      </c>
      <c r="H2" t="s">
        <v>263</v>
      </c>
      <c r="I2" t="s">
        <v>243</v>
      </c>
      <c r="M2" t="s">
        <v>261</v>
      </c>
      <c r="N2" t="s">
        <v>163</v>
      </c>
      <c r="T2" t="s">
        <v>261</v>
      </c>
      <c r="U2" t="s">
        <v>163</v>
      </c>
      <c r="AA2" t="s">
        <v>262</v>
      </c>
      <c r="AB2" t="s">
        <v>164</v>
      </c>
      <c r="AH2" t="s">
        <v>262</v>
      </c>
      <c r="AI2" t="s">
        <v>164</v>
      </c>
    </row>
    <row r="3" spans="1:38" x14ac:dyDescent="0.25">
      <c r="A3">
        <v>0</v>
      </c>
      <c r="B3">
        <v>940000</v>
      </c>
      <c r="C3">
        <v>644179.48870157078</v>
      </c>
      <c r="D3">
        <v>769000</v>
      </c>
      <c r="E3">
        <v>773015.38644188491</v>
      </c>
      <c r="F3">
        <v>940000</v>
      </c>
      <c r="G3">
        <v>580847.18048809213</v>
      </c>
      <c r="H3">
        <v>769000</v>
      </c>
      <c r="I3">
        <v>667016.61658571055</v>
      </c>
      <c r="M3">
        <v>9470</v>
      </c>
      <c r="N3">
        <v>4380.3825244623313</v>
      </c>
      <c r="T3">
        <v>10690</v>
      </c>
      <c r="U3">
        <v>2822.6</v>
      </c>
      <c r="AA3">
        <v>7067.7834831295222</v>
      </c>
      <c r="AB3">
        <v>0</v>
      </c>
      <c r="AH3">
        <v>7287.0045165275405</v>
      </c>
      <c r="AI3">
        <v>0</v>
      </c>
    </row>
    <row r="4" spans="1:38" x14ac:dyDescent="0.25">
      <c r="A4">
        <v>100</v>
      </c>
      <c r="B4">
        <v>940000</v>
      </c>
      <c r="C4">
        <v>639724.48870157078</v>
      </c>
      <c r="D4">
        <v>769000</v>
      </c>
      <c r="E4">
        <v>767669.38644188491</v>
      </c>
      <c r="F4">
        <v>940000</v>
      </c>
      <c r="G4">
        <v>576392.18048809213</v>
      </c>
      <c r="H4">
        <v>769000</v>
      </c>
      <c r="I4">
        <v>661670.61658571055</v>
      </c>
      <c r="M4">
        <v>9470</v>
      </c>
      <c r="N4">
        <v>4341.3662570136057</v>
      </c>
      <c r="T4">
        <v>10690</v>
      </c>
      <c r="U4">
        <v>2826.9699700000001</v>
      </c>
      <c r="AA4">
        <v>7077.0549511631625</v>
      </c>
      <c r="AB4">
        <v>-1.1428571428571375</v>
      </c>
      <c r="AH4">
        <v>7294.7569582925353</v>
      </c>
      <c r="AI4">
        <v>55.428571428571423</v>
      </c>
    </row>
    <row r="5" spans="1:38" x14ac:dyDescent="0.25">
      <c r="A5">
        <v>200</v>
      </c>
      <c r="B5">
        <v>940000</v>
      </c>
      <c r="C5">
        <v>635269.48870157078</v>
      </c>
      <c r="D5">
        <v>769000</v>
      </c>
      <c r="E5">
        <v>762323.38644188491</v>
      </c>
      <c r="F5">
        <v>940000</v>
      </c>
      <c r="G5">
        <v>571937.18048809213</v>
      </c>
      <c r="H5">
        <v>769000</v>
      </c>
      <c r="I5">
        <v>656324.61658571055</v>
      </c>
      <c r="M5">
        <v>9470</v>
      </c>
      <c r="N5">
        <v>4302.3499895648811</v>
      </c>
      <c r="T5">
        <v>10690</v>
      </c>
      <c r="U5">
        <v>2831.3399399999998</v>
      </c>
      <c r="AA5">
        <v>7086.26297120043</v>
      </c>
      <c r="AB5">
        <v>-2.2857142857142749</v>
      </c>
      <c r="AH5">
        <v>7302.4547898220417</v>
      </c>
      <c r="AI5">
        <v>110.85714285714285</v>
      </c>
    </row>
    <row r="6" spans="1:38" x14ac:dyDescent="0.25">
      <c r="A6">
        <v>300</v>
      </c>
      <c r="B6">
        <v>940000</v>
      </c>
      <c r="C6">
        <v>630814.48870157078</v>
      </c>
      <c r="D6">
        <v>769000</v>
      </c>
      <c r="E6">
        <v>756977.38644188491</v>
      </c>
      <c r="F6">
        <v>940000</v>
      </c>
      <c r="G6">
        <v>567482.18048809213</v>
      </c>
      <c r="H6">
        <v>769000</v>
      </c>
      <c r="I6">
        <v>650978.61658571055</v>
      </c>
      <c r="M6">
        <v>9470</v>
      </c>
      <c r="N6">
        <v>4263.3337221161555</v>
      </c>
      <c r="T6">
        <v>10690</v>
      </c>
      <c r="U6">
        <v>2835.70991</v>
      </c>
      <c r="AA6">
        <v>7095.4079212405923</v>
      </c>
      <c r="AB6">
        <v>-3.4285714285714279</v>
      </c>
      <c r="AH6">
        <v>7310.098320793285</v>
      </c>
      <c r="AI6">
        <v>166.28571428571428</v>
      </c>
    </row>
    <row r="7" spans="1:38" x14ac:dyDescent="0.25">
      <c r="A7">
        <v>400</v>
      </c>
      <c r="B7">
        <v>940000</v>
      </c>
      <c r="C7">
        <v>626359.48870157078</v>
      </c>
      <c r="D7">
        <v>769000</v>
      </c>
      <c r="E7">
        <v>751631.38644188491</v>
      </c>
      <c r="F7">
        <v>940000</v>
      </c>
      <c r="G7">
        <v>563027.18048809213</v>
      </c>
      <c r="H7">
        <v>769000</v>
      </c>
      <c r="I7">
        <v>645632.61658571055</v>
      </c>
      <c r="M7">
        <v>9470</v>
      </c>
      <c r="N7">
        <v>4224.31745466743</v>
      </c>
      <c r="T7">
        <v>10690</v>
      </c>
      <c r="U7">
        <v>2840.0798799999998</v>
      </c>
      <c r="AA7">
        <v>7104.4901762459021</v>
      </c>
      <c r="AB7">
        <v>-4.5714285714285499</v>
      </c>
      <c r="AH7">
        <v>7317.6878585836848</v>
      </c>
      <c r="AI7">
        <v>221.71428571428569</v>
      </c>
    </row>
    <row r="8" spans="1:38" x14ac:dyDescent="0.25">
      <c r="A8">
        <v>500</v>
      </c>
      <c r="B8">
        <v>940000</v>
      </c>
      <c r="C8">
        <v>621904.48870157078</v>
      </c>
      <c r="D8">
        <v>769000</v>
      </c>
      <c r="E8">
        <v>746285.38644188491</v>
      </c>
      <c r="F8">
        <v>940000</v>
      </c>
      <c r="G8">
        <v>558572.18048809213</v>
      </c>
      <c r="H8">
        <v>769000</v>
      </c>
      <c r="I8">
        <v>640286.61658571055</v>
      </c>
      <c r="M8">
        <v>9470</v>
      </c>
      <c r="N8">
        <v>4185.3011872187044</v>
      </c>
      <c r="T8">
        <v>10690</v>
      </c>
      <c r="U8">
        <v>2844.44985</v>
      </c>
      <c r="AA8">
        <v>7113.5101081766406</v>
      </c>
      <c r="AB8">
        <v>-5.7142857142856718</v>
      </c>
      <c r="AH8">
        <v>7325.2237082935162</v>
      </c>
      <c r="AI8">
        <v>277.14285714285717</v>
      </c>
    </row>
    <row r="9" spans="1:38" x14ac:dyDescent="0.25">
      <c r="A9">
        <v>600</v>
      </c>
      <c r="B9">
        <v>940000</v>
      </c>
      <c r="C9">
        <v>617449.48870157078</v>
      </c>
      <c r="D9">
        <v>769000</v>
      </c>
      <c r="E9">
        <v>740939.38644188491</v>
      </c>
      <c r="F9">
        <v>940000</v>
      </c>
      <c r="G9">
        <v>554117.18048809213</v>
      </c>
      <c r="H9">
        <v>769000</v>
      </c>
      <c r="I9">
        <v>634940.61658571055</v>
      </c>
      <c r="M9">
        <v>9470</v>
      </c>
      <c r="N9">
        <v>4146.2849197699798</v>
      </c>
      <c r="T9">
        <v>10690</v>
      </c>
      <c r="U9">
        <v>2848.8198199999997</v>
      </c>
      <c r="AA9">
        <v>7122.4680860255576</v>
      </c>
      <c r="AB9">
        <v>-6.8571428571428559</v>
      </c>
      <c r="AH9">
        <v>7332.7061727681457</v>
      </c>
      <c r="AI9">
        <v>332.57142857142856</v>
      </c>
    </row>
    <row r="10" spans="1:38" x14ac:dyDescent="0.25">
      <c r="A10">
        <v>700</v>
      </c>
      <c r="B10">
        <v>940000</v>
      </c>
      <c r="C10">
        <v>612994.48870157078</v>
      </c>
      <c r="D10">
        <v>769000</v>
      </c>
      <c r="E10">
        <v>735593.38644188491</v>
      </c>
      <c r="F10">
        <v>940000</v>
      </c>
      <c r="G10">
        <v>549662.18048809213</v>
      </c>
      <c r="H10">
        <v>769000</v>
      </c>
      <c r="I10">
        <v>629594.61658571055</v>
      </c>
      <c r="M10">
        <v>9470</v>
      </c>
      <c r="N10">
        <v>4107.2686523212542</v>
      </c>
      <c r="T10">
        <v>10690</v>
      </c>
      <c r="U10">
        <v>2853.1897899999999</v>
      </c>
      <c r="AA10">
        <v>7131.3644758517366</v>
      </c>
      <c r="AB10">
        <v>-7.9999999999999778</v>
      </c>
      <c r="AH10">
        <v>7340.1355526199204</v>
      </c>
      <c r="AI10">
        <v>388</v>
      </c>
    </row>
    <row r="11" spans="1:38" x14ac:dyDescent="0.25">
      <c r="A11">
        <v>800</v>
      </c>
      <c r="B11">
        <v>940000</v>
      </c>
      <c r="C11">
        <v>608539.48870157078</v>
      </c>
      <c r="D11">
        <v>769000</v>
      </c>
      <c r="E11">
        <v>730247.38644188491</v>
      </c>
      <c r="F11">
        <v>940000</v>
      </c>
      <c r="G11">
        <v>545207.18048809213</v>
      </c>
      <c r="H11">
        <v>769000</v>
      </c>
      <c r="I11">
        <v>624248.61658571055</v>
      </c>
      <c r="M11">
        <v>9470</v>
      </c>
      <c r="N11">
        <v>4068.2523848725291</v>
      </c>
      <c r="T11">
        <v>10690</v>
      </c>
      <c r="U11">
        <v>2857.5597600000001</v>
      </c>
      <c r="AA11">
        <v>7140.1996408139266</v>
      </c>
      <c r="AB11">
        <v>-9.1428571428570997</v>
      </c>
      <c r="AH11">
        <v>7347.5121462496563</v>
      </c>
      <c r="AI11">
        <v>443.42857142857139</v>
      </c>
    </row>
    <row r="12" spans="1:38" x14ac:dyDescent="0.25">
      <c r="A12">
        <v>900</v>
      </c>
      <c r="B12">
        <v>940000</v>
      </c>
      <c r="C12">
        <v>604084.48870157078</v>
      </c>
      <c r="D12">
        <v>769000</v>
      </c>
      <c r="E12">
        <v>724901.38644188491</v>
      </c>
      <c r="F12">
        <v>940000</v>
      </c>
      <c r="G12">
        <v>540752.18048809213</v>
      </c>
      <c r="H12">
        <v>769000</v>
      </c>
      <c r="I12">
        <v>618902.61658571055</v>
      </c>
      <c r="M12">
        <v>9470</v>
      </c>
      <c r="N12">
        <v>4029.2361174238035</v>
      </c>
      <c r="T12">
        <v>10690</v>
      </c>
      <c r="U12">
        <v>2861.9297299999998</v>
      </c>
      <c r="AA12">
        <v>7148.9739412032759</v>
      </c>
      <c r="AB12">
        <v>-10.285714285714285</v>
      </c>
      <c r="AH12">
        <v>7354.8362498677525</v>
      </c>
      <c r="AI12">
        <v>498.85714285714289</v>
      </c>
    </row>
    <row r="13" spans="1:38" x14ac:dyDescent="0.25">
      <c r="A13">
        <v>1000</v>
      </c>
      <c r="B13">
        <v>940000</v>
      </c>
      <c r="C13">
        <v>599629.48870157078</v>
      </c>
      <c r="D13">
        <v>769000</v>
      </c>
      <c r="E13">
        <v>719555.38644188491</v>
      </c>
      <c r="F13">
        <v>940000</v>
      </c>
      <c r="G13">
        <v>536297.18048809213</v>
      </c>
      <c r="H13">
        <v>769000</v>
      </c>
      <c r="I13">
        <v>613556.61658571055</v>
      </c>
      <c r="M13">
        <v>9470</v>
      </c>
      <c r="N13">
        <v>3990.2198499750784</v>
      </c>
      <c r="T13">
        <v>10690</v>
      </c>
      <c r="U13">
        <v>2866.2997</v>
      </c>
      <c r="AA13">
        <v>7157.687734475553</v>
      </c>
      <c r="AB13">
        <v>-11.428571428571344</v>
      </c>
      <c r="AH13">
        <v>7362.1081575149456</v>
      </c>
      <c r="AI13">
        <v>554.28571428571433</v>
      </c>
    </row>
    <row r="14" spans="1:38" x14ac:dyDescent="0.25">
      <c r="A14">
        <v>1100</v>
      </c>
      <c r="B14">
        <v>940000</v>
      </c>
      <c r="C14">
        <v>595174.48870157078</v>
      </c>
      <c r="D14">
        <v>769000</v>
      </c>
      <c r="E14">
        <v>714209.38644188491</v>
      </c>
      <c r="F14">
        <v>940000</v>
      </c>
      <c r="G14">
        <v>531842.18048809213</v>
      </c>
      <c r="H14">
        <v>769000</v>
      </c>
      <c r="I14">
        <v>608210.61658571055</v>
      </c>
      <c r="M14">
        <v>9470</v>
      </c>
      <c r="N14">
        <v>3951.2035825263529</v>
      </c>
      <c r="T14">
        <v>10690</v>
      </c>
      <c r="U14">
        <v>2870.6696699999998</v>
      </c>
      <c r="AA14">
        <v>7166.3413752828092</v>
      </c>
      <c r="AB14">
        <v>-12.571428571428529</v>
      </c>
      <c r="AH14">
        <v>7369.3281610827044</v>
      </c>
      <c r="AI14">
        <v>609.71428571428567</v>
      </c>
    </row>
    <row r="15" spans="1:38" x14ac:dyDescent="0.25">
      <c r="A15">
        <v>1200</v>
      </c>
      <c r="B15">
        <v>940000</v>
      </c>
      <c r="C15">
        <v>590719.48870157078</v>
      </c>
      <c r="D15">
        <v>769000</v>
      </c>
      <c r="E15">
        <v>708863.38644188491</v>
      </c>
      <c r="F15">
        <v>940000</v>
      </c>
      <c r="G15">
        <v>527387.18048809213</v>
      </c>
      <c r="H15">
        <v>769000</v>
      </c>
      <c r="I15">
        <v>602864.61658571055</v>
      </c>
      <c r="M15">
        <v>9470</v>
      </c>
      <c r="N15">
        <v>3912.1873150776273</v>
      </c>
      <c r="T15">
        <v>10690</v>
      </c>
      <c r="U15">
        <v>2875.03964</v>
      </c>
      <c r="AA15">
        <v>7174.9352155045181</v>
      </c>
      <c r="AB15">
        <v>-13.714285714285712</v>
      </c>
      <c r="AH15">
        <v>7376.4965503332542</v>
      </c>
      <c r="AI15">
        <v>665.14285714285711</v>
      </c>
    </row>
    <row r="16" spans="1:38" x14ac:dyDescent="0.25">
      <c r="A16">
        <v>1300</v>
      </c>
      <c r="B16">
        <v>895000</v>
      </c>
      <c r="C16">
        <v>566164.36444228678</v>
      </c>
      <c r="D16">
        <v>798000</v>
      </c>
      <c r="E16">
        <v>679397.23733074404</v>
      </c>
      <c r="F16">
        <v>895000</v>
      </c>
      <c r="G16">
        <v>519132.94411024248</v>
      </c>
      <c r="H16">
        <v>798000</v>
      </c>
      <c r="I16">
        <v>592959.53293229092</v>
      </c>
      <c r="M16">
        <v>9180</v>
      </c>
      <c r="N16">
        <v>3873.1710476289027</v>
      </c>
      <c r="T16">
        <v>9020</v>
      </c>
      <c r="U16">
        <v>2879.4096099999997</v>
      </c>
      <c r="AA16">
        <v>7749.0472790545227</v>
      </c>
      <c r="AB16">
        <v>-14.857142857142835</v>
      </c>
      <c r="AH16">
        <v>8143.5402830927851</v>
      </c>
      <c r="AI16">
        <v>720.57142857142867</v>
      </c>
    </row>
    <row r="17" spans="1:35" x14ac:dyDescent="0.25">
      <c r="A17">
        <v>1400</v>
      </c>
      <c r="B17">
        <v>895000</v>
      </c>
      <c r="C17">
        <v>560314.36444228678</v>
      </c>
      <c r="D17">
        <v>798000</v>
      </c>
      <c r="E17">
        <v>672377.23733074404</v>
      </c>
      <c r="F17">
        <v>895000</v>
      </c>
      <c r="G17">
        <v>513282.94411024248</v>
      </c>
      <c r="H17">
        <v>798000</v>
      </c>
      <c r="I17">
        <v>585939.53293229092</v>
      </c>
      <c r="M17">
        <v>9180</v>
      </c>
      <c r="N17">
        <v>3834.1547801801771</v>
      </c>
      <c r="T17">
        <v>9020</v>
      </c>
      <c r="U17">
        <v>2883.7795799999999</v>
      </c>
      <c r="AA17">
        <v>7768.351953750438</v>
      </c>
      <c r="AB17">
        <v>-15.999999999999956</v>
      </c>
      <c r="AH17">
        <v>8160.1816749824111</v>
      </c>
      <c r="AI17">
        <v>776</v>
      </c>
    </row>
    <row r="18" spans="1:35" x14ac:dyDescent="0.25">
      <c r="A18">
        <v>1500</v>
      </c>
      <c r="B18">
        <v>895000</v>
      </c>
      <c r="C18">
        <v>554464.36444228678</v>
      </c>
      <c r="D18">
        <v>798000</v>
      </c>
      <c r="E18">
        <v>665357.23733074404</v>
      </c>
      <c r="F18">
        <v>895000</v>
      </c>
      <c r="G18">
        <v>507432.94411024248</v>
      </c>
      <c r="H18">
        <v>798000</v>
      </c>
      <c r="I18">
        <v>578919.53293229092</v>
      </c>
      <c r="M18">
        <v>9180</v>
      </c>
      <c r="N18">
        <v>3795.1385127314516</v>
      </c>
      <c r="T18">
        <v>9020</v>
      </c>
      <c r="U18">
        <v>2888.1495500000001</v>
      </c>
      <c r="AA18">
        <v>7787.5288377434226</v>
      </c>
      <c r="AB18">
        <v>-17.142857142857078</v>
      </c>
      <c r="AH18">
        <v>8176.7075394415115</v>
      </c>
      <c r="AI18">
        <v>831.42857142857144</v>
      </c>
    </row>
    <row r="19" spans="1:35" x14ac:dyDescent="0.25">
      <c r="A19">
        <v>1600</v>
      </c>
      <c r="B19">
        <v>895000</v>
      </c>
      <c r="C19">
        <v>548614.36444228678</v>
      </c>
      <c r="D19">
        <v>798000</v>
      </c>
      <c r="E19">
        <v>658337.23733074404</v>
      </c>
      <c r="F19">
        <v>895000</v>
      </c>
      <c r="G19">
        <v>501582.94411024248</v>
      </c>
      <c r="H19">
        <v>798000</v>
      </c>
      <c r="I19">
        <v>571899.53293229092</v>
      </c>
      <c r="M19">
        <v>9180</v>
      </c>
      <c r="N19">
        <v>3756.122245282726</v>
      </c>
      <c r="T19">
        <v>9020</v>
      </c>
      <c r="U19">
        <v>2892.5195199999998</v>
      </c>
      <c r="AA19">
        <v>7806.5785840612243</v>
      </c>
      <c r="AB19">
        <v>-18.285714285714199</v>
      </c>
      <c r="AH19">
        <v>8193.1183426048756</v>
      </c>
      <c r="AI19">
        <v>886.85714285714278</v>
      </c>
    </row>
    <row r="20" spans="1:35" x14ac:dyDescent="0.25">
      <c r="A20">
        <v>1700</v>
      </c>
      <c r="B20">
        <v>895000</v>
      </c>
      <c r="C20">
        <v>542764.36444228678</v>
      </c>
      <c r="D20">
        <v>798000</v>
      </c>
      <c r="E20">
        <v>651317.23733074404</v>
      </c>
      <c r="F20">
        <v>895000</v>
      </c>
      <c r="G20">
        <v>495732.94411024248</v>
      </c>
      <c r="H20">
        <v>798000</v>
      </c>
      <c r="I20">
        <v>564879.53293229092</v>
      </c>
      <c r="M20">
        <v>9180</v>
      </c>
      <c r="N20">
        <v>3717.1059778340009</v>
      </c>
      <c r="T20">
        <v>9020</v>
      </c>
      <c r="U20">
        <v>2896.88949</v>
      </c>
      <c r="AA20">
        <v>7825.5018360752392</v>
      </c>
      <c r="AB20">
        <v>-19.428571428571445</v>
      </c>
      <c r="AH20">
        <v>8209.4145430975132</v>
      </c>
      <c r="AI20">
        <v>942.28571428571422</v>
      </c>
    </row>
    <row r="21" spans="1:35" x14ac:dyDescent="0.25">
      <c r="A21">
        <v>1800</v>
      </c>
      <c r="B21">
        <v>895000</v>
      </c>
      <c r="C21">
        <v>536914.36444228678</v>
      </c>
      <c r="D21">
        <v>798000</v>
      </c>
      <c r="E21">
        <v>644297.23733074404</v>
      </c>
      <c r="F21">
        <v>895000</v>
      </c>
      <c r="G21">
        <v>489882.94411024248</v>
      </c>
      <c r="H21">
        <v>798000</v>
      </c>
      <c r="I21">
        <v>557859.53293229092</v>
      </c>
      <c r="M21">
        <v>9180</v>
      </c>
      <c r="N21">
        <v>3678.0897103852753</v>
      </c>
      <c r="T21">
        <v>9020</v>
      </c>
      <c r="U21">
        <v>2901.2594599999998</v>
      </c>
      <c r="AA21">
        <v>7844.299227626293</v>
      </c>
      <c r="AB21">
        <v>-20.571428571428569</v>
      </c>
      <c r="AH21">
        <v>8225.5965921062616</v>
      </c>
      <c r="AI21">
        <v>997.71428571428578</v>
      </c>
    </row>
    <row r="22" spans="1:35" x14ac:dyDescent="0.25">
      <c r="A22">
        <v>1900</v>
      </c>
      <c r="B22">
        <v>895000</v>
      </c>
      <c r="C22">
        <v>531064.36444228678</v>
      </c>
      <c r="D22">
        <v>798000</v>
      </c>
      <c r="E22">
        <v>637277.23733074404</v>
      </c>
      <c r="F22">
        <v>895000</v>
      </c>
      <c r="G22">
        <v>484032.94411024248</v>
      </c>
      <c r="H22">
        <v>798000</v>
      </c>
      <c r="I22">
        <v>550839.53293229092</v>
      </c>
      <c r="M22">
        <v>9180</v>
      </c>
      <c r="N22">
        <v>3639.0734429365502</v>
      </c>
      <c r="T22">
        <v>9020</v>
      </c>
      <c r="U22">
        <v>2905.62943</v>
      </c>
      <c r="AA22">
        <v>7862.97138314738</v>
      </c>
      <c r="AB22">
        <v>-21.714285714285566</v>
      </c>
      <c r="AH22">
        <v>8241.6649334494177</v>
      </c>
      <c r="AI22">
        <v>1053.1428571428571</v>
      </c>
    </row>
    <row r="23" spans="1:35" x14ac:dyDescent="0.25">
      <c r="A23">
        <v>2000</v>
      </c>
      <c r="B23">
        <v>895000</v>
      </c>
      <c r="C23">
        <v>525214.36444228678</v>
      </c>
      <c r="D23">
        <v>798000</v>
      </c>
      <c r="E23">
        <v>630257.23733074404</v>
      </c>
      <c r="F23">
        <v>895000</v>
      </c>
      <c r="G23">
        <v>478182.94411024248</v>
      </c>
      <c r="H23">
        <v>798000</v>
      </c>
      <c r="I23">
        <v>543819.53293229092</v>
      </c>
      <c r="M23">
        <v>9180</v>
      </c>
      <c r="N23">
        <v>3600.0571754878251</v>
      </c>
      <c r="T23">
        <v>9020</v>
      </c>
      <c r="U23">
        <v>2909.9993999999997</v>
      </c>
      <c r="AA23">
        <v>7881.5189177834118</v>
      </c>
      <c r="AB23">
        <v>-22.857142857142687</v>
      </c>
      <c r="AH23">
        <v>8257.6200036443915</v>
      </c>
      <c r="AI23">
        <v>1108.5714285714287</v>
      </c>
    </row>
    <row r="24" spans="1:35" x14ac:dyDescent="0.25">
      <c r="A24">
        <v>2100</v>
      </c>
      <c r="B24">
        <v>895000</v>
      </c>
      <c r="C24">
        <v>519364.36444228672</v>
      </c>
      <c r="D24">
        <v>798000</v>
      </c>
      <c r="E24">
        <v>623237.23733074404</v>
      </c>
      <c r="F24">
        <v>895000</v>
      </c>
      <c r="G24">
        <v>472332.94411024248</v>
      </c>
      <c r="H24">
        <v>798000</v>
      </c>
      <c r="I24">
        <v>536799.53293229092</v>
      </c>
      <c r="M24">
        <v>9180</v>
      </c>
      <c r="N24">
        <v>3561.0409080390996</v>
      </c>
      <c r="T24">
        <v>9020</v>
      </c>
      <c r="U24">
        <v>2914.3693699999999</v>
      </c>
      <c r="AA24">
        <v>7899.9424375080953</v>
      </c>
      <c r="AB24">
        <v>-23.999999999999932</v>
      </c>
      <c r="AH24">
        <v>8273.4622319734735</v>
      </c>
      <c r="AI24">
        <v>1164</v>
      </c>
    </row>
    <row r="25" spans="1:35" x14ac:dyDescent="0.25">
      <c r="A25">
        <v>2200</v>
      </c>
      <c r="B25">
        <v>895000</v>
      </c>
      <c r="C25">
        <v>513514.36444228672</v>
      </c>
      <c r="D25">
        <v>798000</v>
      </c>
      <c r="E25">
        <v>616217.23733074404</v>
      </c>
      <c r="F25">
        <v>895000</v>
      </c>
      <c r="G25">
        <v>466482.94411024248</v>
      </c>
      <c r="H25">
        <v>798000</v>
      </c>
      <c r="I25">
        <v>529779.53293229092</v>
      </c>
      <c r="M25">
        <v>9180</v>
      </c>
      <c r="N25">
        <v>3522.0246405903745</v>
      </c>
      <c r="T25">
        <v>9020</v>
      </c>
      <c r="U25">
        <v>2918.7393400000001</v>
      </c>
      <c r="AA25">
        <v>7918.2425392379437</v>
      </c>
      <c r="AB25">
        <v>-25.142857142857057</v>
      </c>
      <c r="AH25">
        <v>8289.1920405476649</v>
      </c>
      <c r="AI25">
        <v>1219.4285714285713</v>
      </c>
    </row>
    <row r="26" spans="1:35" x14ac:dyDescent="0.25">
      <c r="A26">
        <v>2300</v>
      </c>
      <c r="B26">
        <v>895000</v>
      </c>
      <c r="C26">
        <v>507664.36444228672</v>
      </c>
      <c r="D26">
        <v>798000</v>
      </c>
      <c r="E26">
        <v>609197.23733074404</v>
      </c>
      <c r="F26">
        <v>895000</v>
      </c>
      <c r="G26">
        <v>460632.94411024248</v>
      </c>
      <c r="H26">
        <v>798000</v>
      </c>
      <c r="I26">
        <v>522759.53293229098</v>
      </c>
      <c r="M26">
        <v>9180</v>
      </c>
      <c r="N26">
        <v>3483.0083731416494</v>
      </c>
      <c r="T26">
        <v>9020</v>
      </c>
      <c r="U26">
        <v>2923.1093099999998</v>
      </c>
      <c r="AA26">
        <v>7936.4198109435156</v>
      </c>
      <c r="AB26">
        <v>-26.285714285714178</v>
      </c>
      <c r="AH26">
        <v>8304.8098443686577</v>
      </c>
      <c r="AI26">
        <v>1274.8571428571429</v>
      </c>
    </row>
    <row r="27" spans="1:35" x14ac:dyDescent="0.25">
      <c r="A27">
        <v>2400</v>
      </c>
      <c r="B27">
        <v>895000</v>
      </c>
      <c r="C27">
        <v>501814.36444228672</v>
      </c>
      <c r="D27">
        <v>798000</v>
      </c>
      <c r="E27">
        <v>602177.23733074404</v>
      </c>
      <c r="F27">
        <v>895000</v>
      </c>
      <c r="G27">
        <v>454782.94411024248</v>
      </c>
      <c r="H27">
        <v>798000</v>
      </c>
      <c r="I27">
        <v>515739.53293229098</v>
      </c>
      <c r="M27">
        <v>9180</v>
      </c>
      <c r="N27">
        <v>3443.9921056929238</v>
      </c>
      <c r="T27">
        <v>9020</v>
      </c>
      <c r="U27">
        <v>2927.47928</v>
      </c>
      <c r="AA27">
        <v>7954.4748317579242</v>
      </c>
      <c r="AB27">
        <v>-27.428571428571423</v>
      </c>
      <c r="AH27">
        <v>8320.3160513889779</v>
      </c>
      <c r="AI27">
        <v>1330.2857142857142</v>
      </c>
    </row>
    <row r="28" spans="1:35" x14ac:dyDescent="0.25">
      <c r="A28">
        <v>2500</v>
      </c>
      <c r="B28">
        <v>895000</v>
      </c>
      <c r="C28">
        <v>495964.36444228672</v>
      </c>
      <c r="D28">
        <v>798000</v>
      </c>
      <c r="E28">
        <v>595157.23733074404</v>
      </c>
      <c r="F28">
        <v>895000</v>
      </c>
      <c r="G28">
        <v>448932.94411024248</v>
      </c>
      <c r="H28">
        <v>798000</v>
      </c>
      <c r="I28">
        <v>508719.53293229098</v>
      </c>
      <c r="M28">
        <v>9180</v>
      </c>
      <c r="N28">
        <v>3404.9758382441983</v>
      </c>
      <c r="T28">
        <v>9020</v>
      </c>
      <c r="U28">
        <v>2931.8492499999998</v>
      </c>
      <c r="AA28">
        <v>7972.4081720826716</v>
      </c>
      <c r="AB28">
        <v>-28.571428571428672</v>
      </c>
      <c r="AH28">
        <v>8335.7110625703026</v>
      </c>
      <c r="AI28">
        <v>1385.7142857142858</v>
      </c>
    </row>
    <row r="29" spans="1:35" x14ac:dyDescent="0.25">
      <c r="A29">
        <v>2600</v>
      </c>
      <c r="B29">
        <v>895000</v>
      </c>
      <c r="C29">
        <v>490114.36444228672</v>
      </c>
      <c r="D29">
        <v>798000</v>
      </c>
      <c r="E29">
        <v>588137.23733074404</v>
      </c>
      <c r="F29">
        <v>895000</v>
      </c>
      <c r="G29">
        <v>443082.94411024248</v>
      </c>
      <c r="H29">
        <v>798000</v>
      </c>
      <c r="I29">
        <v>501699.53293229098</v>
      </c>
      <c r="M29">
        <v>9180</v>
      </c>
      <c r="N29">
        <v>3365.9595707954732</v>
      </c>
      <c r="T29">
        <v>9020</v>
      </c>
      <c r="U29">
        <v>2936.21922</v>
      </c>
      <c r="AA29">
        <v>7990.2203936908936</v>
      </c>
      <c r="AB29">
        <v>-29.714285714285669</v>
      </c>
      <c r="AH29">
        <v>8350.9952719400062</v>
      </c>
      <c r="AI29">
        <v>1441.1428571428573</v>
      </c>
    </row>
    <row r="30" spans="1:35" x14ac:dyDescent="0.25">
      <c r="A30">
        <v>2700</v>
      </c>
      <c r="B30">
        <v>895000</v>
      </c>
      <c r="C30">
        <v>484264.36444228672</v>
      </c>
      <c r="D30">
        <v>798000</v>
      </c>
      <c r="E30">
        <v>581117.23733074404</v>
      </c>
      <c r="F30">
        <v>895000</v>
      </c>
      <c r="G30">
        <v>437232.94411024248</v>
      </c>
      <c r="H30">
        <v>798000</v>
      </c>
      <c r="I30">
        <v>494679.53293229098</v>
      </c>
      <c r="M30">
        <v>9180</v>
      </c>
      <c r="N30">
        <v>3326.9433033467485</v>
      </c>
      <c r="T30">
        <v>9020</v>
      </c>
      <c r="U30">
        <v>2940.5891899999997</v>
      </c>
      <c r="AA30">
        <v>8007.9120498279972</v>
      </c>
      <c r="AB30">
        <v>-30.857142857142666</v>
      </c>
      <c r="AH30">
        <v>8366.1690666459144</v>
      </c>
      <c r="AI30">
        <v>1496.5714285714284</v>
      </c>
    </row>
    <row r="31" spans="1:35" x14ac:dyDescent="0.25">
      <c r="A31">
        <v>2800</v>
      </c>
      <c r="B31">
        <v>895000</v>
      </c>
      <c r="C31">
        <v>478414.36444228672</v>
      </c>
      <c r="D31">
        <v>798000</v>
      </c>
      <c r="E31">
        <v>574097.23733074404</v>
      </c>
      <c r="F31">
        <v>895000</v>
      </c>
      <c r="G31">
        <v>431382.94411024248</v>
      </c>
      <c r="H31">
        <v>798000</v>
      </c>
      <c r="I31">
        <v>487659.53293229098</v>
      </c>
      <c r="M31">
        <v>9180</v>
      </c>
      <c r="N31">
        <v>3287.9270358980225</v>
      </c>
      <c r="T31">
        <v>9020</v>
      </c>
      <c r="U31">
        <v>2944.9591599999999</v>
      </c>
      <c r="AA31">
        <v>8025.4836853098313</v>
      </c>
      <c r="AB31">
        <v>-31.999999999999911</v>
      </c>
      <c r="AH31">
        <v>8381.2328270093512</v>
      </c>
      <c r="AI31">
        <v>1552</v>
      </c>
    </row>
    <row r="32" spans="1:35" x14ac:dyDescent="0.25">
      <c r="A32">
        <v>2900</v>
      </c>
      <c r="B32">
        <v>895000</v>
      </c>
      <c r="C32">
        <v>472564.36444228672</v>
      </c>
      <c r="D32">
        <v>798000</v>
      </c>
      <c r="E32">
        <v>567077.23733074404</v>
      </c>
      <c r="F32">
        <v>895000</v>
      </c>
      <c r="G32">
        <v>425532.94411024248</v>
      </c>
      <c r="H32">
        <v>798000</v>
      </c>
      <c r="I32">
        <v>480639.53293229098</v>
      </c>
      <c r="M32">
        <v>9180</v>
      </c>
      <c r="N32">
        <v>3248.9107684492974</v>
      </c>
      <c r="T32">
        <v>9020</v>
      </c>
      <c r="U32">
        <v>2949.3291300000001</v>
      </c>
      <c r="AA32">
        <v>8042.9358366183651</v>
      </c>
      <c r="AB32">
        <v>-33.142857142856911</v>
      </c>
      <c r="AH32">
        <v>8396.1869265764271</v>
      </c>
      <c r="AI32">
        <v>1607.4285714285713</v>
      </c>
    </row>
    <row r="33" spans="1:35" x14ac:dyDescent="0.25">
      <c r="A33">
        <v>3000</v>
      </c>
      <c r="B33">
        <v>895000</v>
      </c>
      <c r="C33">
        <v>466714.36444228672</v>
      </c>
      <c r="D33">
        <v>798000</v>
      </c>
      <c r="E33">
        <v>560057.23733074404</v>
      </c>
      <c r="F33">
        <v>895000</v>
      </c>
      <c r="G33">
        <v>419682.94411024248</v>
      </c>
      <c r="H33">
        <v>798000</v>
      </c>
      <c r="I33">
        <v>473619.53293229098</v>
      </c>
      <c r="M33">
        <v>9180</v>
      </c>
      <c r="N33">
        <v>3209.8945010005723</v>
      </c>
      <c r="T33">
        <v>9020</v>
      </c>
      <c r="U33">
        <v>2953.6990999999998</v>
      </c>
      <c r="AA33">
        <v>8060.2690319949734</v>
      </c>
      <c r="AB33">
        <v>-34.285714285714157</v>
      </c>
      <c r="AH33">
        <v>8411.0317321676739</v>
      </c>
      <c r="AI33">
        <v>1662.8571428571429</v>
      </c>
    </row>
    <row r="34" spans="1:35" x14ac:dyDescent="0.25">
      <c r="A34">
        <v>3100</v>
      </c>
      <c r="B34">
        <v>895000</v>
      </c>
      <c r="C34">
        <v>460864.36444228672</v>
      </c>
      <c r="D34">
        <v>798000</v>
      </c>
      <c r="E34">
        <v>553037.23733074404</v>
      </c>
      <c r="F34">
        <v>895000</v>
      </c>
      <c r="G34">
        <v>413832.94411024248</v>
      </c>
      <c r="H34">
        <v>798000</v>
      </c>
      <c r="I34">
        <v>466599.53293229098</v>
      </c>
      <c r="M34">
        <v>9180</v>
      </c>
      <c r="N34">
        <v>3170.8782335518467</v>
      </c>
      <c r="T34">
        <v>9020</v>
      </c>
      <c r="U34">
        <v>2958.06907</v>
      </c>
      <c r="AA34">
        <v>8077.4837915313265</v>
      </c>
      <c r="AB34">
        <v>-35.428571428571402</v>
      </c>
      <c r="AH34">
        <v>8425.7676039259713</v>
      </c>
      <c r="AI34">
        <v>1718.2857142857144</v>
      </c>
    </row>
    <row r="35" spans="1:35" x14ac:dyDescent="0.25">
      <c r="A35">
        <v>3200</v>
      </c>
      <c r="B35">
        <v>895000</v>
      </c>
      <c r="C35">
        <v>455014.36444228672</v>
      </c>
      <c r="D35">
        <v>798000</v>
      </c>
      <c r="E35">
        <v>546017.23733074404</v>
      </c>
      <c r="F35">
        <v>895000</v>
      </c>
      <c r="G35">
        <v>407982.94411024248</v>
      </c>
      <c r="H35">
        <v>798000</v>
      </c>
      <c r="I35">
        <v>459579.53293229098</v>
      </c>
      <c r="M35">
        <v>9180</v>
      </c>
      <c r="N35">
        <v>3131.8619661031212</v>
      </c>
      <c r="T35">
        <v>9020</v>
      </c>
      <c r="U35">
        <v>2962.4390399999997</v>
      </c>
      <c r="AA35">
        <v>8094.5806272579675</v>
      </c>
      <c r="AB35">
        <v>-36.571428571428399</v>
      </c>
      <c r="AH35">
        <v>8440.3948953628205</v>
      </c>
      <c r="AI35">
        <v>1773.7142857142856</v>
      </c>
    </row>
    <row r="36" spans="1:35" x14ac:dyDescent="0.25">
      <c r="A36">
        <v>3300</v>
      </c>
      <c r="B36">
        <v>778000</v>
      </c>
      <c r="C36">
        <v>462941.67392720061</v>
      </c>
      <c r="D36">
        <v>852000</v>
      </c>
      <c r="E36">
        <v>555530.00871264073</v>
      </c>
      <c r="F36">
        <v>778000</v>
      </c>
      <c r="G36">
        <v>406489.01592370775</v>
      </c>
      <c r="H36">
        <v>852000</v>
      </c>
      <c r="I36">
        <v>457786.81910844933</v>
      </c>
      <c r="M36">
        <v>7900</v>
      </c>
      <c r="N36">
        <v>3092.8456986543961</v>
      </c>
      <c r="T36">
        <v>7780</v>
      </c>
      <c r="U36">
        <v>2966.8090099999999</v>
      </c>
      <c r="AA36">
        <v>6031.7216284156475</v>
      </c>
      <c r="AB36">
        <v>-37.714285714285644</v>
      </c>
      <c r="AH36">
        <v>6293.3136863886875</v>
      </c>
      <c r="AI36">
        <v>1829.1428571428571</v>
      </c>
    </row>
    <row r="37" spans="1:35" x14ac:dyDescent="0.25">
      <c r="A37">
        <v>3400</v>
      </c>
      <c r="B37">
        <v>778000</v>
      </c>
      <c r="C37">
        <v>457886.67392720061</v>
      </c>
      <c r="D37">
        <v>852000</v>
      </c>
      <c r="E37">
        <v>549464.00871264073</v>
      </c>
      <c r="F37">
        <v>778000</v>
      </c>
      <c r="G37">
        <v>401434.01592370775</v>
      </c>
      <c r="H37">
        <v>852000</v>
      </c>
      <c r="I37">
        <v>451720.81910844933</v>
      </c>
      <c r="M37">
        <v>7900</v>
      </c>
      <c r="N37">
        <v>3053.8294312056714</v>
      </c>
      <c r="T37">
        <v>7780</v>
      </c>
      <c r="U37">
        <v>2971.1789800000001</v>
      </c>
      <c r="AA37">
        <v>6042.7627712731</v>
      </c>
      <c r="AB37">
        <v>-38.85714285714289</v>
      </c>
      <c r="AH37">
        <v>6302.2795357592649</v>
      </c>
      <c r="AI37">
        <v>1884.5714285714284</v>
      </c>
    </row>
    <row r="38" spans="1:35" x14ac:dyDescent="0.25">
      <c r="A38">
        <v>3500</v>
      </c>
      <c r="B38">
        <v>778000</v>
      </c>
      <c r="C38">
        <v>452831.67392720061</v>
      </c>
      <c r="D38">
        <v>852000</v>
      </c>
      <c r="E38">
        <v>543398.00871264073</v>
      </c>
      <c r="F38">
        <v>778000</v>
      </c>
      <c r="G38">
        <v>396379.01592370775</v>
      </c>
      <c r="H38">
        <v>852000</v>
      </c>
      <c r="I38">
        <v>445654.81910844933</v>
      </c>
      <c r="M38">
        <v>7900</v>
      </c>
      <c r="N38">
        <v>3014.8131637569459</v>
      </c>
      <c r="T38">
        <v>7780</v>
      </c>
      <c r="U38">
        <v>2975.5489499999999</v>
      </c>
      <c r="AA38">
        <v>6053.7187134000751</v>
      </c>
      <c r="AB38">
        <v>-39.999999999999886</v>
      </c>
      <c r="AH38">
        <v>6311.1714158966388</v>
      </c>
      <c r="AI38">
        <v>1940</v>
      </c>
    </row>
    <row r="39" spans="1:35" x14ac:dyDescent="0.25">
      <c r="A39">
        <v>3600</v>
      </c>
      <c r="B39">
        <v>778000</v>
      </c>
      <c r="C39">
        <v>447776.67392720061</v>
      </c>
      <c r="D39">
        <v>852000</v>
      </c>
      <c r="E39">
        <v>537332.00871264073</v>
      </c>
      <c r="F39">
        <v>778000</v>
      </c>
      <c r="G39">
        <v>391324.01592370775</v>
      </c>
      <c r="H39">
        <v>852000</v>
      </c>
      <c r="I39">
        <v>439588.81910844933</v>
      </c>
      <c r="M39">
        <v>7900</v>
      </c>
      <c r="N39">
        <v>2975.7968963082203</v>
      </c>
      <c r="T39">
        <v>7780</v>
      </c>
      <c r="U39">
        <v>2979.9189200000001</v>
      </c>
      <c r="AA39">
        <v>6064.5899583975224</v>
      </c>
      <c r="AB39">
        <v>-41.142857142857139</v>
      </c>
      <c r="AH39">
        <v>6319.989684138709</v>
      </c>
      <c r="AI39">
        <v>1995.4285714285716</v>
      </c>
    </row>
    <row r="40" spans="1:35" x14ac:dyDescent="0.25">
      <c r="A40">
        <v>3700</v>
      </c>
      <c r="B40">
        <v>778000</v>
      </c>
      <c r="C40">
        <v>442721.67392720061</v>
      </c>
      <c r="D40">
        <v>852000</v>
      </c>
      <c r="E40">
        <v>531266.00871264073</v>
      </c>
      <c r="F40">
        <v>778000</v>
      </c>
      <c r="G40">
        <v>386269.01592370775</v>
      </c>
      <c r="H40">
        <v>852000</v>
      </c>
      <c r="I40">
        <v>433522.81910844933</v>
      </c>
      <c r="M40">
        <v>7900</v>
      </c>
      <c r="N40">
        <v>2936.7806288594952</v>
      </c>
      <c r="T40">
        <v>7780</v>
      </c>
      <c r="U40">
        <v>2984.2888899999998</v>
      </c>
      <c r="AA40">
        <v>6075.3770035000289</v>
      </c>
      <c r="AB40">
        <v>-42.285714285714384</v>
      </c>
      <c r="AH40">
        <v>6328.7346928788693</v>
      </c>
      <c r="AI40">
        <v>2050.8571428571431</v>
      </c>
    </row>
    <row r="41" spans="1:35" x14ac:dyDescent="0.25">
      <c r="A41">
        <v>3800</v>
      </c>
      <c r="B41">
        <v>778000</v>
      </c>
      <c r="C41">
        <v>437666.67392720061</v>
      </c>
      <c r="D41">
        <v>852000</v>
      </c>
      <c r="E41">
        <v>525200.00871264073</v>
      </c>
      <c r="F41">
        <v>778000</v>
      </c>
      <c r="G41">
        <v>381214.01592370775</v>
      </c>
      <c r="H41">
        <v>852000</v>
      </c>
      <c r="I41">
        <v>427456.81910844933</v>
      </c>
      <c r="M41">
        <v>7900</v>
      </c>
      <c r="N41">
        <v>2897.7643614107697</v>
      </c>
      <c r="T41">
        <v>7780</v>
      </c>
      <c r="U41">
        <v>2988.65886</v>
      </c>
      <c r="AA41">
        <v>6086.0803396493984</v>
      </c>
      <c r="AB41">
        <v>-43.428571428571132</v>
      </c>
      <c r="AH41">
        <v>6337.4067896024062</v>
      </c>
      <c r="AI41">
        <v>2106.2857142857142</v>
      </c>
    </row>
    <row r="42" spans="1:35" x14ac:dyDescent="0.25">
      <c r="A42">
        <v>3900</v>
      </c>
      <c r="B42">
        <v>778000</v>
      </c>
      <c r="C42">
        <v>432611.67392720061</v>
      </c>
      <c r="D42">
        <v>852000</v>
      </c>
      <c r="E42">
        <v>519134.00871264079</v>
      </c>
      <c r="F42">
        <v>778000</v>
      </c>
      <c r="G42">
        <v>376159.01592370775</v>
      </c>
      <c r="H42">
        <v>852000</v>
      </c>
      <c r="I42">
        <v>421390.81910844933</v>
      </c>
      <c r="M42">
        <v>7900</v>
      </c>
      <c r="N42">
        <v>2858.7480939620441</v>
      </c>
      <c r="T42">
        <v>7780</v>
      </c>
      <c r="U42">
        <v>2993.0288299999997</v>
      </c>
      <c r="AA42">
        <v>6096.7004515665158</v>
      </c>
      <c r="AB42">
        <v>-44.571428571428378</v>
      </c>
      <c r="AH42">
        <v>6346.0063169217383</v>
      </c>
      <c r="AI42">
        <v>2161.7142857142858</v>
      </c>
    </row>
    <row r="43" spans="1:35" x14ac:dyDescent="0.25">
      <c r="A43">
        <v>4000</v>
      </c>
      <c r="B43">
        <v>778000</v>
      </c>
      <c r="C43">
        <v>427556.67392720061</v>
      </c>
      <c r="D43">
        <v>852000</v>
      </c>
      <c r="E43">
        <v>513068.00871264079</v>
      </c>
      <c r="F43">
        <v>778000</v>
      </c>
      <c r="G43">
        <v>371104.01592370775</v>
      </c>
      <c r="H43">
        <v>852000</v>
      </c>
      <c r="I43">
        <v>415324.81910844933</v>
      </c>
      <c r="M43">
        <v>7900</v>
      </c>
      <c r="N43">
        <v>2819.731826513319</v>
      </c>
      <c r="T43">
        <v>7780</v>
      </c>
      <c r="U43">
        <v>2997.3987999999999</v>
      </c>
      <c r="AA43">
        <v>6107.2378178214867</v>
      </c>
      <c r="AB43">
        <v>-45.714285714285374</v>
      </c>
      <c r="AH43">
        <v>6354.5336126104921</v>
      </c>
      <c r="AI43">
        <v>2217.1428571428573</v>
      </c>
    </row>
    <row r="44" spans="1:35" x14ac:dyDescent="0.25">
      <c r="A44">
        <v>4100</v>
      </c>
      <c r="B44">
        <v>778000</v>
      </c>
      <c r="C44">
        <v>422501.67392720061</v>
      </c>
      <c r="D44">
        <v>852000</v>
      </c>
      <c r="E44">
        <v>507002.00871264079</v>
      </c>
      <c r="F44">
        <v>778000</v>
      </c>
      <c r="G44">
        <v>366049.01592370775</v>
      </c>
      <c r="H44">
        <v>852000</v>
      </c>
      <c r="I44">
        <v>409258.81910844933</v>
      </c>
      <c r="M44">
        <v>7900</v>
      </c>
      <c r="N44">
        <v>2780.7155590645939</v>
      </c>
      <c r="T44">
        <v>7780</v>
      </c>
      <c r="U44">
        <v>3001.7687700000001</v>
      </c>
      <c r="AA44">
        <v>6117.6929109021021</v>
      </c>
      <c r="AB44">
        <v>-2.857142857142617</v>
      </c>
      <c r="AH44">
        <v>6362.9890096364243</v>
      </c>
      <c r="AI44">
        <v>2272.5714285714284</v>
      </c>
    </row>
    <row r="45" spans="1:35" x14ac:dyDescent="0.25">
      <c r="A45">
        <v>4200</v>
      </c>
      <c r="B45">
        <v>778000</v>
      </c>
      <c r="C45">
        <v>417446.67392720061</v>
      </c>
      <c r="D45">
        <v>852000</v>
      </c>
      <c r="E45">
        <v>500936.00871264079</v>
      </c>
      <c r="F45">
        <v>778000</v>
      </c>
      <c r="G45">
        <v>360994.01592370775</v>
      </c>
      <c r="H45">
        <v>852000</v>
      </c>
      <c r="I45">
        <v>403192.81910844933</v>
      </c>
      <c r="M45">
        <v>7900</v>
      </c>
      <c r="N45">
        <v>2741.6992916158688</v>
      </c>
      <c r="T45">
        <v>7780</v>
      </c>
      <c r="U45">
        <v>3006.1387399999999</v>
      </c>
      <c r="AA45">
        <v>6128.0661972806474</v>
      </c>
      <c r="AB45">
        <v>40.000000000000391</v>
      </c>
      <c r="AH45">
        <v>6371.3728361932317</v>
      </c>
      <c r="AI45">
        <v>2328</v>
      </c>
    </row>
    <row r="46" spans="1:35" x14ac:dyDescent="0.25">
      <c r="A46">
        <v>4300</v>
      </c>
      <c r="B46">
        <v>778000</v>
      </c>
      <c r="C46">
        <v>412391.67392720061</v>
      </c>
      <c r="D46">
        <v>852000</v>
      </c>
      <c r="E46">
        <v>494870.00871264079</v>
      </c>
      <c r="F46">
        <v>778000</v>
      </c>
      <c r="G46">
        <v>355939.01592370775</v>
      </c>
      <c r="H46">
        <v>852000</v>
      </c>
      <c r="I46">
        <v>397126.81910844933</v>
      </c>
      <c r="M46">
        <v>7900</v>
      </c>
      <c r="N46">
        <v>2702.6830241671432</v>
      </c>
      <c r="T46">
        <v>7780</v>
      </c>
      <c r="U46">
        <v>3010.5087100000001</v>
      </c>
      <c r="AA46">
        <v>6138.3581374790983</v>
      </c>
      <c r="AB46">
        <v>82.857142857143145</v>
      </c>
      <c r="AH46">
        <v>6379.6854157312209</v>
      </c>
      <c r="AI46">
        <v>2383.4285714285711</v>
      </c>
    </row>
    <row r="47" spans="1:35" x14ac:dyDescent="0.25">
      <c r="A47">
        <v>4400</v>
      </c>
      <c r="B47">
        <v>778000</v>
      </c>
      <c r="C47">
        <v>407336.67392720061</v>
      </c>
      <c r="D47">
        <v>852000</v>
      </c>
      <c r="E47">
        <v>488804.00871264079</v>
      </c>
      <c r="F47">
        <v>778000</v>
      </c>
      <c r="G47">
        <v>350884.01592370775</v>
      </c>
      <c r="H47">
        <v>852000</v>
      </c>
      <c r="I47">
        <v>391060.81910844933</v>
      </c>
      <c r="M47">
        <v>7900</v>
      </c>
      <c r="N47">
        <v>2663.6667567184181</v>
      </c>
      <c r="T47">
        <v>7780</v>
      </c>
      <c r="U47">
        <v>3014.8786799999998</v>
      </c>
      <c r="AA47">
        <v>6148.569186132725</v>
      </c>
      <c r="AB47">
        <v>125.71428571428615</v>
      </c>
      <c r="AH47">
        <v>6387.9270669868538</v>
      </c>
      <c r="AI47">
        <v>2438.8571428571427</v>
      </c>
    </row>
    <row r="48" spans="1:35" x14ac:dyDescent="0.25">
      <c r="A48">
        <v>4500</v>
      </c>
      <c r="B48">
        <v>778000</v>
      </c>
      <c r="C48">
        <v>402281.67392720061</v>
      </c>
      <c r="D48">
        <v>852000</v>
      </c>
      <c r="E48">
        <v>482738.00871264079</v>
      </c>
      <c r="F48">
        <v>778000</v>
      </c>
      <c r="G48">
        <v>345829.01592370775</v>
      </c>
      <c r="H48">
        <v>852000</v>
      </c>
      <c r="I48">
        <v>384994.81910844933</v>
      </c>
      <c r="M48">
        <v>7900</v>
      </c>
      <c r="N48">
        <v>2624.650489269693</v>
      </c>
      <c r="T48">
        <v>7780</v>
      </c>
      <c r="U48">
        <v>3019.24865</v>
      </c>
      <c r="AA48">
        <v>6158.6997920521326</v>
      </c>
      <c r="AB48">
        <v>168.5714285714289</v>
      </c>
      <c r="AH48">
        <v>6396.0981040112283</v>
      </c>
      <c r="AI48">
        <v>2494.2857142857142</v>
      </c>
    </row>
    <row r="49" spans="1:35" x14ac:dyDescent="0.25">
      <c r="A49">
        <v>4600</v>
      </c>
      <c r="B49">
        <v>778000</v>
      </c>
      <c r="C49">
        <v>397226.67392720061</v>
      </c>
      <c r="D49">
        <v>852000</v>
      </c>
      <c r="E49">
        <v>476672.00871264079</v>
      </c>
      <c r="F49">
        <v>778000</v>
      </c>
      <c r="G49">
        <v>340774.01592370775</v>
      </c>
      <c r="H49">
        <v>852000</v>
      </c>
      <c r="I49">
        <v>378928.81910844933</v>
      </c>
      <c r="M49">
        <v>7900</v>
      </c>
      <c r="N49">
        <v>2585.6342218209675</v>
      </c>
      <c r="T49">
        <v>7780</v>
      </c>
      <c r="U49">
        <v>3023.6186199999997</v>
      </c>
      <c r="AA49">
        <v>6168.7503982837552</v>
      </c>
      <c r="AB49">
        <v>211.42857142857167</v>
      </c>
      <c r="AH49">
        <v>6404.1988361974236</v>
      </c>
      <c r="AI49">
        <v>2549.7142857142858</v>
      </c>
    </row>
    <row r="50" spans="1:35" x14ac:dyDescent="0.25">
      <c r="A50">
        <v>4700</v>
      </c>
      <c r="B50">
        <v>778000</v>
      </c>
      <c r="C50">
        <v>392171.67392720061</v>
      </c>
      <c r="D50">
        <v>852000</v>
      </c>
      <c r="E50">
        <v>470606.00871264079</v>
      </c>
      <c r="F50">
        <v>778000</v>
      </c>
      <c r="G50">
        <v>335719.01592370775</v>
      </c>
      <c r="H50">
        <v>852000</v>
      </c>
      <c r="I50">
        <v>372862.81910844933</v>
      </c>
      <c r="M50">
        <v>7900</v>
      </c>
      <c r="N50">
        <v>2546.6179543722419</v>
      </c>
      <c r="T50">
        <v>7780</v>
      </c>
      <c r="U50">
        <v>3027.9885899999999</v>
      </c>
      <c r="AA50">
        <v>6178.7214421688632</v>
      </c>
      <c r="AB50">
        <v>254.28571428571442</v>
      </c>
      <c r="AH50">
        <v>6412.2295683067832</v>
      </c>
      <c r="AI50">
        <v>2605.1428571428573</v>
      </c>
    </row>
    <row r="51" spans="1:35" x14ac:dyDescent="0.25">
      <c r="A51">
        <v>4800</v>
      </c>
      <c r="B51">
        <v>714000</v>
      </c>
      <c r="C51">
        <v>410521.09466082399</v>
      </c>
      <c r="D51">
        <v>716000</v>
      </c>
      <c r="E51">
        <v>492625.31359298882</v>
      </c>
      <c r="F51">
        <v>714000</v>
      </c>
      <c r="G51">
        <v>339576.14367135119</v>
      </c>
      <c r="H51">
        <v>716000</v>
      </c>
      <c r="I51">
        <v>377491.37240562146</v>
      </c>
      <c r="M51">
        <v>7150</v>
      </c>
      <c r="N51">
        <v>2507.6016869235168</v>
      </c>
      <c r="T51">
        <v>7330</v>
      </c>
      <c r="U51">
        <v>3032.3585600000001</v>
      </c>
      <c r="AA51">
        <v>7067.9372560061147</v>
      </c>
      <c r="AB51">
        <v>297.14285714285717</v>
      </c>
      <c r="AH51">
        <v>7407.2192970112619</v>
      </c>
      <c r="AI51">
        <v>2660.5714285714284</v>
      </c>
    </row>
    <row r="52" spans="1:35" x14ac:dyDescent="0.25">
      <c r="A52">
        <v>4900</v>
      </c>
      <c r="B52">
        <v>714000</v>
      </c>
      <c r="C52">
        <v>406561.09466082399</v>
      </c>
      <c r="D52">
        <v>716000</v>
      </c>
      <c r="E52">
        <v>487873.31359298882</v>
      </c>
      <c r="F52">
        <v>714000</v>
      </c>
      <c r="G52">
        <v>335616.14367135119</v>
      </c>
      <c r="H52">
        <v>716000</v>
      </c>
      <c r="I52">
        <v>372739.37240562146</v>
      </c>
      <c r="M52">
        <v>7150</v>
      </c>
      <c r="N52">
        <v>2468.5854194747917</v>
      </c>
      <c r="T52">
        <v>7330</v>
      </c>
      <c r="U52">
        <v>3036.7285299999999</v>
      </c>
      <c r="AA52">
        <v>7085.0710359905879</v>
      </c>
      <c r="AB52">
        <v>339.99999999999994</v>
      </c>
      <c r="AH52">
        <v>7421.3182481176491</v>
      </c>
      <c r="AI52">
        <v>2716</v>
      </c>
    </row>
    <row r="53" spans="1:35" x14ac:dyDescent="0.25">
      <c r="A53">
        <v>5000</v>
      </c>
      <c r="B53">
        <v>714000</v>
      </c>
      <c r="C53">
        <v>402601.09466082399</v>
      </c>
      <c r="D53">
        <v>716000</v>
      </c>
      <c r="E53">
        <v>483121.31359298882</v>
      </c>
      <c r="F53">
        <v>714000</v>
      </c>
      <c r="G53">
        <v>331656.14367135119</v>
      </c>
      <c r="H53">
        <v>716000</v>
      </c>
      <c r="I53">
        <v>367987.37240562146</v>
      </c>
      <c r="M53">
        <v>7150</v>
      </c>
      <c r="N53">
        <v>2429.5691520260666</v>
      </c>
      <c r="T53">
        <v>7330</v>
      </c>
      <c r="U53">
        <v>3041.0985000000001</v>
      </c>
      <c r="AA53">
        <v>7102.0597120661832</v>
      </c>
      <c r="AB53">
        <v>382.85714285714317</v>
      </c>
      <c r="AH53">
        <v>7435.2814606038946</v>
      </c>
      <c r="AI53">
        <v>2771.4285714285716</v>
      </c>
    </row>
    <row r="54" spans="1:35" x14ac:dyDescent="0.25">
      <c r="A54">
        <v>5100</v>
      </c>
      <c r="B54">
        <v>714000</v>
      </c>
      <c r="C54">
        <v>398641.09466082399</v>
      </c>
      <c r="D54">
        <v>716000</v>
      </c>
      <c r="E54">
        <v>478369.31359298882</v>
      </c>
      <c r="F54">
        <v>714000</v>
      </c>
      <c r="G54">
        <v>327696.14367135119</v>
      </c>
      <c r="H54">
        <v>716000</v>
      </c>
      <c r="I54">
        <v>363235.37240562146</v>
      </c>
      <c r="M54">
        <v>7150</v>
      </c>
      <c r="N54">
        <v>2390.552884577341</v>
      </c>
      <c r="T54">
        <v>7330</v>
      </c>
      <c r="U54">
        <v>3045.4684699999998</v>
      </c>
      <c r="AA54">
        <v>7118.9038459982658</v>
      </c>
      <c r="AB54">
        <v>425.71428571428595</v>
      </c>
      <c r="AH54">
        <v>7449.1092312220171</v>
      </c>
      <c r="AI54">
        <v>2826.8571428571431</v>
      </c>
    </row>
    <row r="55" spans="1:35" x14ac:dyDescent="0.25">
      <c r="A55">
        <v>5200</v>
      </c>
      <c r="B55">
        <v>714000</v>
      </c>
      <c r="C55">
        <v>394681.09466082399</v>
      </c>
      <c r="D55">
        <v>716000</v>
      </c>
      <c r="E55">
        <v>473617.31359298882</v>
      </c>
      <c r="F55">
        <v>714000</v>
      </c>
      <c r="G55">
        <v>323736.14367135119</v>
      </c>
      <c r="H55">
        <v>716000</v>
      </c>
      <c r="I55">
        <v>358483.37240562146</v>
      </c>
      <c r="M55">
        <v>7150</v>
      </c>
      <c r="N55">
        <v>2351.5366171286159</v>
      </c>
      <c r="T55">
        <v>7330</v>
      </c>
      <c r="U55">
        <v>3049.83844</v>
      </c>
      <c r="AA55">
        <v>7135.6039864097647</v>
      </c>
      <c r="AB55">
        <v>468.57142857142873</v>
      </c>
      <c r="AH55">
        <v>7462.8018451262596</v>
      </c>
      <c r="AI55">
        <v>2882.2857142857147</v>
      </c>
    </row>
    <row r="56" spans="1:35" x14ac:dyDescent="0.25">
      <c r="A56">
        <v>5300</v>
      </c>
      <c r="B56">
        <v>714000</v>
      </c>
      <c r="C56">
        <v>390721.09466082405</v>
      </c>
      <c r="D56">
        <v>716000</v>
      </c>
      <c r="E56">
        <v>468865.31359298882</v>
      </c>
      <c r="F56">
        <v>714000</v>
      </c>
      <c r="G56">
        <v>319776.14367135119</v>
      </c>
      <c r="H56">
        <v>716000</v>
      </c>
      <c r="I56">
        <v>353731.37240562146</v>
      </c>
      <c r="M56">
        <v>7150</v>
      </c>
      <c r="N56">
        <v>2312.5203496798904</v>
      </c>
      <c r="T56">
        <v>7330</v>
      </c>
      <c r="U56">
        <v>3054.2084099999997</v>
      </c>
      <c r="AA56">
        <v>7152.160668898111</v>
      </c>
      <c r="AB56">
        <v>511.42857142857144</v>
      </c>
      <c r="AH56">
        <v>7476.3595758974097</v>
      </c>
      <c r="AI56">
        <v>2937.7142857142853</v>
      </c>
    </row>
    <row r="57" spans="1:35" x14ac:dyDescent="0.25">
      <c r="A57">
        <v>5400</v>
      </c>
      <c r="B57">
        <v>714000</v>
      </c>
      <c r="C57">
        <v>386761.09466082405</v>
      </c>
      <c r="D57">
        <v>716000</v>
      </c>
      <c r="E57">
        <v>464113.31359298882</v>
      </c>
      <c r="F57">
        <v>714000</v>
      </c>
      <c r="G57">
        <v>315816.14367135119</v>
      </c>
      <c r="H57">
        <v>716000</v>
      </c>
      <c r="I57">
        <v>348979.37240562146</v>
      </c>
      <c r="M57">
        <v>7150</v>
      </c>
      <c r="N57">
        <v>2273.5040822311653</v>
      </c>
      <c r="T57">
        <v>7330</v>
      </c>
      <c r="U57">
        <v>3058.5783799999999</v>
      </c>
      <c r="AA57">
        <v>7168.5744161473931</v>
      </c>
      <c r="AB57">
        <v>554.28571428571468</v>
      </c>
      <c r="AH57">
        <v>7489.7826855631592</v>
      </c>
      <c r="AI57">
        <v>2993.1428571428569</v>
      </c>
    </row>
    <row r="58" spans="1:35" x14ac:dyDescent="0.25">
      <c r="A58">
        <v>5500</v>
      </c>
      <c r="B58">
        <v>714000</v>
      </c>
      <c r="C58">
        <v>382801.09466082405</v>
      </c>
      <c r="D58">
        <v>716000</v>
      </c>
      <c r="E58">
        <v>459361.31359298882</v>
      </c>
      <c r="F58">
        <v>714000</v>
      </c>
      <c r="G58">
        <v>311856.14367135119</v>
      </c>
      <c r="H58">
        <v>716000</v>
      </c>
      <c r="I58">
        <v>344227.37240562146</v>
      </c>
      <c r="M58">
        <v>7150</v>
      </c>
      <c r="N58">
        <v>2234.4878147824397</v>
      </c>
      <c r="T58">
        <v>7330</v>
      </c>
      <c r="U58">
        <v>3062.9483500000001</v>
      </c>
      <c r="AA58">
        <v>7184.8457380358095</v>
      </c>
      <c r="AB58">
        <v>597.14285714285745</v>
      </c>
      <c r="AH58">
        <v>7503.0714246144289</v>
      </c>
      <c r="AI58">
        <v>3048.5714285714284</v>
      </c>
    </row>
    <row r="59" spans="1:35" x14ac:dyDescent="0.25">
      <c r="A59">
        <v>5600</v>
      </c>
      <c r="B59">
        <v>714000</v>
      </c>
      <c r="C59">
        <v>378841.09466082405</v>
      </c>
      <c r="D59">
        <v>716000</v>
      </c>
      <c r="E59">
        <v>454609.31359298882</v>
      </c>
      <c r="F59">
        <v>714000</v>
      </c>
      <c r="G59">
        <v>307896.14367135119</v>
      </c>
      <c r="H59">
        <v>716000</v>
      </c>
      <c r="I59">
        <v>339475.37240562146</v>
      </c>
      <c r="M59">
        <v>7150</v>
      </c>
      <c r="N59">
        <v>2195.4715473337142</v>
      </c>
      <c r="T59">
        <v>7330</v>
      </c>
      <c r="U59">
        <v>3067.3183199999999</v>
      </c>
      <c r="AA59">
        <v>7200.9751317384953</v>
      </c>
      <c r="AB59">
        <v>640.00000000000068</v>
      </c>
      <c r="AH59">
        <v>7516.226032017692</v>
      </c>
      <c r="AI59">
        <v>3104</v>
      </c>
    </row>
    <row r="60" spans="1:35" x14ac:dyDescent="0.25">
      <c r="A60">
        <v>5700</v>
      </c>
      <c r="B60">
        <v>714000</v>
      </c>
      <c r="C60">
        <v>374881.09466082405</v>
      </c>
      <c r="D60">
        <v>716000</v>
      </c>
      <c r="E60">
        <v>449857.31359298882</v>
      </c>
      <c r="F60">
        <v>714000</v>
      </c>
      <c r="G60">
        <v>303936.14367135119</v>
      </c>
      <c r="H60">
        <v>716000</v>
      </c>
      <c r="I60">
        <v>334723.37240562146</v>
      </c>
      <c r="M60">
        <v>7150</v>
      </c>
      <c r="N60">
        <v>2156.4552798849895</v>
      </c>
      <c r="T60">
        <v>7330</v>
      </c>
      <c r="U60">
        <v>3071.6882900000001</v>
      </c>
      <c r="AA60">
        <v>7216.9630818257792</v>
      </c>
      <c r="AB60">
        <v>682.85714285714346</v>
      </c>
      <c r="AH60">
        <v>7529.2467352232907</v>
      </c>
      <c r="AI60">
        <v>3159.4285714285716</v>
      </c>
    </row>
    <row r="61" spans="1:35" x14ac:dyDescent="0.25">
      <c r="A61">
        <v>5800</v>
      </c>
      <c r="B61">
        <v>714000</v>
      </c>
      <c r="C61">
        <v>370921.09466082405</v>
      </c>
      <c r="D61">
        <v>716000</v>
      </c>
      <c r="E61">
        <v>445105.31359298882</v>
      </c>
      <c r="F61">
        <v>714000</v>
      </c>
      <c r="G61">
        <v>299976.14367135119</v>
      </c>
      <c r="H61">
        <v>716000</v>
      </c>
      <c r="I61">
        <v>329971.37240562146</v>
      </c>
      <c r="M61">
        <v>7150</v>
      </c>
      <c r="N61">
        <v>2117.439012436264</v>
      </c>
      <c r="T61">
        <v>7330</v>
      </c>
      <c r="U61">
        <v>3076.0582599999998</v>
      </c>
      <c r="AA61">
        <v>7232.8100603569437</v>
      </c>
      <c r="AB61">
        <v>725.71428571428623</v>
      </c>
      <c r="AH61">
        <v>7542.133750169728</v>
      </c>
      <c r="AI61">
        <v>3214.8571428571427</v>
      </c>
    </row>
    <row r="62" spans="1:35" x14ac:dyDescent="0.25">
      <c r="A62">
        <v>5900</v>
      </c>
      <c r="B62">
        <v>714000</v>
      </c>
      <c r="C62">
        <v>366961.09466082405</v>
      </c>
      <c r="D62">
        <v>716000</v>
      </c>
      <c r="E62">
        <v>440353.31359298882</v>
      </c>
      <c r="F62">
        <v>714000</v>
      </c>
      <c r="G62">
        <v>296016.14367135119</v>
      </c>
      <c r="H62">
        <v>716000</v>
      </c>
      <c r="I62">
        <v>325219.37240562146</v>
      </c>
      <c r="M62">
        <v>7150</v>
      </c>
      <c r="N62">
        <v>2078.4227449875389</v>
      </c>
      <c r="T62">
        <v>7330</v>
      </c>
      <c r="U62">
        <v>3080.42823</v>
      </c>
      <c r="AA62">
        <v>7248.5165269694935</v>
      </c>
      <c r="AB62">
        <v>768.57142857142901</v>
      </c>
      <c r="AH62">
        <v>7554.8872812839109</v>
      </c>
      <c r="AI62">
        <v>3270.2857142857142</v>
      </c>
    </row>
    <row r="63" spans="1:35" x14ac:dyDescent="0.25">
      <c r="A63">
        <v>6000</v>
      </c>
      <c r="B63">
        <v>714000</v>
      </c>
      <c r="C63">
        <v>363001.09466082405</v>
      </c>
      <c r="D63">
        <v>716000</v>
      </c>
      <c r="E63">
        <v>435601.31359298882</v>
      </c>
      <c r="F63">
        <v>714000</v>
      </c>
      <c r="G63">
        <v>292056.14367135119</v>
      </c>
      <c r="H63">
        <v>716000</v>
      </c>
      <c r="I63">
        <v>320467.37240562146</v>
      </c>
      <c r="M63">
        <v>7150</v>
      </c>
      <c r="N63">
        <v>2039.4064775388133</v>
      </c>
      <c r="T63">
        <v>7330</v>
      </c>
      <c r="U63">
        <v>3084.7981999999997</v>
      </c>
      <c r="AA63">
        <v>7264.0829289640824</v>
      </c>
      <c r="AB63">
        <v>811.42857142857179</v>
      </c>
      <c r="AH63">
        <v>7567.5075214773506</v>
      </c>
      <c r="AI63">
        <v>3325.7142857142858</v>
      </c>
    </row>
    <row r="64" spans="1:35" x14ac:dyDescent="0.25">
      <c r="A64">
        <v>6100</v>
      </c>
      <c r="B64">
        <v>714000</v>
      </c>
      <c r="C64">
        <v>359041.09466082405</v>
      </c>
      <c r="D64">
        <v>716000</v>
      </c>
      <c r="E64">
        <v>430849.31359298882</v>
      </c>
      <c r="F64">
        <v>714000</v>
      </c>
      <c r="G64">
        <v>288096.14367135119</v>
      </c>
      <c r="H64">
        <v>716000</v>
      </c>
      <c r="I64">
        <v>315715.37240562146</v>
      </c>
      <c r="M64">
        <v>7150</v>
      </c>
      <c r="N64">
        <v>2000.3902100900884</v>
      </c>
      <c r="T64">
        <v>7330</v>
      </c>
      <c r="U64">
        <v>3089.1681699999999</v>
      </c>
      <c r="AA64">
        <v>7279.5097013850263</v>
      </c>
      <c r="AB64">
        <v>854.28571428571456</v>
      </c>
      <c r="AH64">
        <v>7579.994652138289</v>
      </c>
      <c r="AI64">
        <v>3381.1428571428573</v>
      </c>
    </row>
    <row r="65" spans="1:35" x14ac:dyDescent="0.25">
      <c r="A65">
        <v>6200</v>
      </c>
      <c r="B65">
        <v>714000</v>
      </c>
      <c r="C65">
        <v>355081.09466082405</v>
      </c>
      <c r="D65">
        <v>716000</v>
      </c>
      <c r="E65">
        <v>426097.31359298882</v>
      </c>
      <c r="F65">
        <v>714000</v>
      </c>
      <c r="G65">
        <v>284136.14367135119</v>
      </c>
      <c r="H65">
        <v>716000</v>
      </c>
      <c r="I65">
        <v>310963.37240562146</v>
      </c>
      <c r="M65">
        <v>7150</v>
      </c>
      <c r="N65">
        <v>1961.3739426413629</v>
      </c>
      <c r="T65">
        <v>7330</v>
      </c>
      <c r="U65">
        <v>3093.5381400000001</v>
      </c>
      <c r="AA65">
        <v>7294.7972670965728</v>
      </c>
      <c r="AB65">
        <v>897.14285714285779</v>
      </c>
      <c r="AH65">
        <v>7592.3488431197075</v>
      </c>
      <c r="AI65">
        <v>3436.5714285714289</v>
      </c>
    </row>
    <row r="66" spans="1:35" x14ac:dyDescent="0.25">
      <c r="A66">
        <v>6300</v>
      </c>
      <c r="B66">
        <v>714000</v>
      </c>
      <c r="C66">
        <v>351121.09466082405</v>
      </c>
      <c r="D66">
        <v>716000</v>
      </c>
      <c r="E66">
        <v>421345.31359298882</v>
      </c>
      <c r="F66">
        <v>714000</v>
      </c>
      <c r="G66">
        <v>280176.14367135119</v>
      </c>
      <c r="H66">
        <v>716000</v>
      </c>
      <c r="I66">
        <v>306211.37240562146</v>
      </c>
      <c r="M66">
        <v>7150</v>
      </c>
      <c r="N66">
        <v>1922.3576751926378</v>
      </c>
      <c r="T66">
        <v>7330</v>
      </c>
      <c r="U66">
        <v>3097.9081099999999</v>
      </c>
      <c r="AA66">
        <v>7309.9460368548444</v>
      </c>
      <c r="AB66">
        <v>940.00000000000057</v>
      </c>
      <c r="AH66">
        <v>7604.5702527232515</v>
      </c>
      <c r="AI66">
        <v>3492.0000000000005</v>
      </c>
    </row>
    <row r="67" spans="1:35" x14ac:dyDescent="0.25">
      <c r="A67">
        <v>6400</v>
      </c>
      <c r="B67">
        <v>714000</v>
      </c>
      <c r="C67">
        <v>347161.09466082405</v>
      </c>
      <c r="D67">
        <v>716000</v>
      </c>
      <c r="E67">
        <v>416593.31359298882</v>
      </c>
      <c r="F67">
        <v>714000</v>
      </c>
      <c r="G67">
        <v>276216.14367135119</v>
      </c>
      <c r="H67">
        <v>716000</v>
      </c>
      <c r="I67">
        <v>301459.37240562146</v>
      </c>
      <c r="M67">
        <v>7150</v>
      </c>
      <c r="N67">
        <v>1883.3414077439122</v>
      </c>
      <c r="T67">
        <v>7330</v>
      </c>
      <c r="U67">
        <v>3102.27808</v>
      </c>
      <c r="AA67">
        <v>7324.9564093756171</v>
      </c>
      <c r="AB67">
        <v>982.85714285714323</v>
      </c>
      <c r="AH67">
        <v>7616.6590276789602</v>
      </c>
      <c r="AI67">
        <v>3547.4285714285711</v>
      </c>
    </row>
    <row r="68" spans="1:35" x14ac:dyDescent="0.25">
      <c r="A68">
        <v>6500</v>
      </c>
      <c r="B68">
        <v>714000</v>
      </c>
      <c r="C68">
        <v>343201.09466082405</v>
      </c>
      <c r="D68">
        <v>716000</v>
      </c>
      <c r="E68">
        <v>411841.31359298882</v>
      </c>
      <c r="F68">
        <v>714000</v>
      </c>
      <c r="G68">
        <v>272256.14367135119</v>
      </c>
      <c r="H68">
        <v>716000</v>
      </c>
      <c r="I68">
        <v>296707.37240562146</v>
      </c>
      <c r="M68">
        <v>7150</v>
      </c>
      <c r="N68">
        <v>1844.3251402951867</v>
      </c>
      <c r="T68">
        <v>7330</v>
      </c>
      <c r="U68">
        <v>3106.6480499999998</v>
      </c>
      <c r="AA68">
        <v>7339.8287713978698</v>
      </c>
      <c r="AB68">
        <v>1025.714285714286</v>
      </c>
      <c r="AH68">
        <v>7628.6153031208451</v>
      </c>
      <c r="AI68">
        <v>3602.8571428571427</v>
      </c>
    </row>
    <row r="69" spans="1:35" x14ac:dyDescent="0.25">
      <c r="A69">
        <v>6600</v>
      </c>
      <c r="B69">
        <v>714000</v>
      </c>
      <c r="C69">
        <v>339241.09466082405</v>
      </c>
      <c r="D69">
        <v>716000</v>
      </c>
      <c r="E69">
        <v>407089.31359298882</v>
      </c>
      <c r="F69">
        <v>714000</v>
      </c>
      <c r="G69">
        <v>268296.14367135119</v>
      </c>
      <c r="H69">
        <v>716000</v>
      </c>
      <c r="I69">
        <v>291955.37240562146</v>
      </c>
      <c r="M69">
        <v>7150</v>
      </c>
      <c r="N69">
        <v>1805.3088728464618</v>
      </c>
      <c r="T69">
        <v>7330</v>
      </c>
      <c r="U69">
        <v>3111.01802</v>
      </c>
      <c r="AA69">
        <v>7354.5634977431901</v>
      </c>
      <c r="AB69">
        <v>1068.5714285714289</v>
      </c>
      <c r="AH69">
        <v>7640.4392025582129</v>
      </c>
      <c r="AI69">
        <v>3658.2857142857142</v>
      </c>
    </row>
    <row r="70" spans="1:35" x14ac:dyDescent="0.25">
      <c r="A70">
        <v>6700</v>
      </c>
      <c r="B70">
        <v>714000</v>
      </c>
      <c r="C70">
        <v>335281.09466082405</v>
      </c>
      <c r="D70">
        <v>716000</v>
      </c>
      <c r="E70">
        <v>402337.31359298882</v>
      </c>
      <c r="F70">
        <v>714000</v>
      </c>
      <c r="G70">
        <v>264336.14367135119</v>
      </c>
      <c r="H70">
        <v>716000</v>
      </c>
      <c r="I70">
        <v>287203.37240562146</v>
      </c>
      <c r="M70">
        <v>7150</v>
      </c>
      <c r="N70">
        <v>1766.2926053977362</v>
      </c>
      <c r="T70">
        <v>7330</v>
      </c>
      <c r="U70">
        <v>3115.3879899999997</v>
      </c>
      <c r="AA70">
        <v>7369.1609513710646</v>
      </c>
      <c r="AB70">
        <v>1111.4285714285716</v>
      </c>
      <c r="AH70">
        <v>7652.130837842753</v>
      </c>
      <c r="AI70">
        <v>3713.7142857142858</v>
      </c>
    </row>
    <row r="71" spans="1:35" x14ac:dyDescent="0.25">
      <c r="A71">
        <v>6800</v>
      </c>
      <c r="B71">
        <v>714000</v>
      </c>
      <c r="C71">
        <v>331321.09466082405</v>
      </c>
      <c r="D71">
        <v>716000</v>
      </c>
      <c r="E71">
        <v>397585.31359298882</v>
      </c>
      <c r="F71">
        <v>714000</v>
      </c>
      <c r="G71">
        <v>260376.14367135119</v>
      </c>
      <c r="H71">
        <v>716000</v>
      </c>
      <c r="I71">
        <v>282451.37240562146</v>
      </c>
      <c r="M71">
        <v>7150</v>
      </c>
      <c r="N71">
        <v>1727.2763379490111</v>
      </c>
      <c r="T71">
        <v>7330</v>
      </c>
      <c r="U71">
        <v>3119.7579599999999</v>
      </c>
      <c r="AA71">
        <v>7383.6214834300499</v>
      </c>
      <c r="AB71">
        <v>1154.2857142857149</v>
      </c>
      <c r="AH71">
        <v>7663.690309131307</v>
      </c>
      <c r="AI71">
        <v>3769.1428571428569</v>
      </c>
    </row>
    <row r="72" spans="1:35" x14ac:dyDescent="0.25">
      <c r="A72">
        <v>6900</v>
      </c>
      <c r="B72">
        <v>714000</v>
      </c>
      <c r="C72">
        <v>327361.09466082405</v>
      </c>
      <c r="D72">
        <v>716000</v>
      </c>
      <c r="E72">
        <v>392833.31359298882</v>
      </c>
      <c r="F72">
        <v>714000</v>
      </c>
      <c r="G72">
        <v>256416.14367135119</v>
      </c>
      <c r="H72">
        <v>716000</v>
      </c>
      <c r="I72">
        <v>277699.37240562146</v>
      </c>
      <c r="M72">
        <v>7150</v>
      </c>
      <c r="N72">
        <v>1688.2600705002858</v>
      </c>
      <c r="T72">
        <v>7330</v>
      </c>
      <c r="U72">
        <v>3124.1279300000001</v>
      </c>
      <c r="AA72">
        <v>7397.9454333048807</v>
      </c>
      <c r="AB72">
        <v>1197.1428571428571</v>
      </c>
      <c r="AH72">
        <v>7675.1177048442823</v>
      </c>
      <c r="AI72">
        <v>3824.5714285714284</v>
      </c>
    </row>
    <row r="73" spans="1:35" x14ac:dyDescent="0.25">
      <c r="A73">
        <v>7000</v>
      </c>
      <c r="B73">
        <v>714000</v>
      </c>
      <c r="C73">
        <v>323401.09466082405</v>
      </c>
      <c r="D73">
        <v>716000</v>
      </c>
      <c r="E73">
        <v>388081.31359298882</v>
      </c>
      <c r="F73">
        <v>714000</v>
      </c>
      <c r="G73">
        <v>252456.14367135119</v>
      </c>
      <c r="H73">
        <v>716000</v>
      </c>
      <c r="I73">
        <v>272947.37240562146</v>
      </c>
      <c r="M73">
        <v>7150</v>
      </c>
      <c r="N73">
        <v>1649.2438030515607</v>
      </c>
      <c r="T73">
        <v>7330</v>
      </c>
      <c r="U73">
        <v>3128.4978999999998</v>
      </c>
      <c r="AA73">
        <v>7412.1331286595205</v>
      </c>
      <c r="AB73">
        <v>1240.0000000000002</v>
      </c>
      <c r="AH73">
        <v>7686.4131016196525</v>
      </c>
      <c r="AI73">
        <v>3880</v>
      </c>
    </row>
    <row r="74" spans="1:35" x14ac:dyDescent="0.25">
      <c r="A74">
        <v>7100</v>
      </c>
      <c r="B74">
        <v>714000</v>
      </c>
      <c r="C74">
        <v>319441.09466082405</v>
      </c>
      <c r="D74">
        <v>716000</v>
      </c>
      <c r="E74">
        <v>383329.31359298882</v>
      </c>
      <c r="F74">
        <v>714000</v>
      </c>
      <c r="G74">
        <v>248496.14367135119</v>
      </c>
      <c r="H74">
        <v>716000</v>
      </c>
      <c r="I74">
        <v>268195.37240562146</v>
      </c>
      <c r="M74">
        <v>7150</v>
      </c>
      <c r="N74">
        <v>1610.2275356028351</v>
      </c>
      <c r="T74">
        <v>7330</v>
      </c>
      <c r="U74">
        <v>3132.86787</v>
      </c>
      <c r="AA74">
        <v>7426.1848854761593</v>
      </c>
      <c r="AB74">
        <v>1282.8571428571427</v>
      </c>
      <c r="AH74">
        <v>7697.5765642625192</v>
      </c>
      <c r="AI74">
        <v>3935.4285714285716</v>
      </c>
    </row>
    <row r="75" spans="1:35" x14ac:dyDescent="0.25">
      <c r="A75">
        <v>7200</v>
      </c>
      <c r="B75">
        <v>714000</v>
      </c>
      <c r="C75">
        <v>315481.09466082405</v>
      </c>
      <c r="D75">
        <v>716000</v>
      </c>
      <c r="E75">
        <v>378577.31359298882</v>
      </c>
      <c r="F75">
        <v>714000</v>
      </c>
      <c r="G75">
        <v>244536.14367135119</v>
      </c>
      <c r="H75">
        <v>716000</v>
      </c>
      <c r="I75">
        <v>263443.37240562146</v>
      </c>
      <c r="M75">
        <v>7150</v>
      </c>
      <c r="N75">
        <v>1571.2112681541103</v>
      </c>
      <c r="T75">
        <v>7330</v>
      </c>
      <c r="U75">
        <v>3137.2378399999998</v>
      </c>
      <c r="AA75">
        <v>7440.101008090196</v>
      </c>
      <c r="AB75">
        <v>1325.7142857142858</v>
      </c>
      <c r="AH75">
        <v>7708.6081456901302</v>
      </c>
      <c r="AI75">
        <v>3990.8571428571431</v>
      </c>
    </row>
    <row r="76" spans="1:35" x14ac:dyDescent="0.25">
      <c r="A76">
        <v>7300</v>
      </c>
      <c r="B76">
        <v>714000</v>
      </c>
      <c r="C76">
        <v>311521.09466082405</v>
      </c>
      <c r="D76">
        <v>716000</v>
      </c>
      <c r="E76">
        <v>373825.31359298882</v>
      </c>
      <c r="F76">
        <v>714000</v>
      </c>
      <c r="G76">
        <v>240576.14367135119</v>
      </c>
      <c r="H76">
        <v>716000</v>
      </c>
      <c r="I76">
        <v>258691.37240562146</v>
      </c>
      <c r="M76">
        <v>7150</v>
      </c>
      <c r="N76">
        <v>1532.1950007053847</v>
      </c>
      <c r="T76">
        <v>7330</v>
      </c>
      <c r="U76">
        <v>3141.60781</v>
      </c>
      <c r="AA76">
        <v>7453.8817892212037</v>
      </c>
      <c r="AB76">
        <v>1368.5714285714291</v>
      </c>
      <c r="AH76">
        <v>7719.5078868723167</v>
      </c>
      <c r="AI76">
        <v>4046.2857142857147</v>
      </c>
    </row>
    <row r="77" spans="1:35" x14ac:dyDescent="0.25">
      <c r="A77">
        <v>7400</v>
      </c>
      <c r="B77">
        <v>714000</v>
      </c>
      <c r="C77">
        <v>307561.09466082405</v>
      </c>
      <c r="D77">
        <v>716000</v>
      </c>
      <c r="E77">
        <v>369073.31359298882</v>
      </c>
      <c r="F77">
        <v>714000</v>
      </c>
      <c r="G77">
        <v>236616.14367135119</v>
      </c>
      <c r="H77">
        <v>716000</v>
      </c>
      <c r="I77">
        <v>253939.37240562146</v>
      </c>
      <c r="M77">
        <v>7150</v>
      </c>
      <c r="N77">
        <v>1493.1787332566596</v>
      </c>
      <c r="T77">
        <v>7330</v>
      </c>
      <c r="U77">
        <v>3145.9777799999997</v>
      </c>
      <c r="AA77">
        <v>7467.527509999878</v>
      </c>
      <c r="AB77">
        <v>1411.4285714285713</v>
      </c>
      <c r="AH77">
        <v>7730.2758167673028</v>
      </c>
      <c r="AI77">
        <v>4101.7142857142862</v>
      </c>
    </row>
    <row r="78" spans="1:35" x14ac:dyDescent="0.25">
      <c r="A78">
        <v>7500</v>
      </c>
      <c r="B78">
        <v>714000</v>
      </c>
      <c r="C78">
        <v>303601.09466082405</v>
      </c>
      <c r="D78">
        <v>716000</v>
      </c>
      <c r="E78">
        <v>364321.31359298882</v>
      </c>
      <c r="F78">
        <v>714000</v>
      </c>
      <c r="G78">
        <v>232656.14367135119</v>
      </c>
      <c r="H78">
        <v>716000</v>
      </c>
      <c r="I78">
        <v>249187.37240562146</v>
      </c>
      <c r="M78">
        <v>7150</v>
      </c>
      <c r="N78">
        <v>1454.162465807934</v>
      </c>
      <c r="T78">
        <v>7330</v>
      </c>
      <c r="U78">
        <v>3150.3477499999999</v>
      </c>
      <c r="AA78">
        <v>7481.0384399910008</v>
      </c>
      <c r="AB78">
        <v>1454.2857142857151</v>
      </c>
      <c r="AH78">
        <v>7740.9119522527517</v>
      </c>
      <c r="AI78">
        <v>4157.1428571428578</v>
      </c>
    </row>
    <row r="79" spans="1:35" x14ac:dyDescent="0.25">
      <c r="A79">
        <v>7600</v>
      </c>
      <c r="B79">
        <v>714000</v>
      </c>
      <c r="C79">
        <v>299641.09466082405</v>
      </c>
      <c r="D79">
        <v>716000</v>
      </c>
      <c r="E79">
        <v>359569.31359298882</v>
      </c>
      <c r="F79">
        <v>714000</v>
      </c>
      <c r="G79">
        <v>228696.14367135119</v>
      </c>
      <c r="H79">
        <v>716000</v>
      </c>
      <c r="I79">
        <v>244435.37240562146</v>
      </c>
      <c r="M79">
        <v>7150</v>
      </c>
      <c r="N79">
        <v>1415.1461983592087</v>
      </c>
      <c r="T79">
        <v>7330</v>
      </c>
      <c r="U79">
        <v>3154.7177200000001</v>
      </c>
      <c r="AA79">
        <v>7494.4148372123655</v>
      </c>
      <c r="AB79">
        <v>1497.1428571428573</v>
      </c>
      <c r="AH79">
        <v>7751.4162980520532</v>
      </c>
      <c r="AI79">
        <v>4212.5714285714284</v>
      </c>
    </row>
    <row r="80" spans="1:35" x14ac:dyDescent="0.25">
      <c r="A80">
        <v>7700</v>
      </c>
      <c r="B80">
        <v>714000</v>
      </c>
      <c r="C80">
        <v>295681.09466082405</v>
      </c>
      <c r="D80">
        <v>716000</v>
      </c>
      <c r="E80">
        <v>354817.31359298882</v>
      </c>
      <c r="F80">
        <v>714000</v>
      </c>
      <c r="G80">
        <v>224736.14367135119</v>
      </c>
      <c r="H80">
        <v>716000</v>
      </c>
      <c r="I80">
        <v>239683.37240562146</v>
      </c>
      <c r="M80">
        <v>7150</v>
      </c>
      <c r="N80">
        <v>1376.1299309104836</v>
      </c>
      <c r="T80">
        <v>7330</v>
      </c>
      <c r="U80">
        <v>3159.0876899999998</v>
      </c>
      <c r="AA80">
        <v>7507.6569481497418</v>
      </c>
      <c r="AB80">
        <v>1540.0000000000007</v>
      </c>
      <c r="AH80">
        <v>7761.7888466556942</v>
      </c>
      <c r="AI80">
        <v>4268</v>
      </c>
    </row>
    <row r="81" spans="1:35" x14ac:dyDescent="0.25">
      <c r="A81">
        <v>7800</v>
      </c>
      <c r="B81">
        <v>714000</v>
      </c>
      <c r="C81">
        <v>291721.09466082405</v>
      </c>
      <c r="D81">
        <v>716000</v>
      </c>
      <c r="E81">
        <v>350065.31359298882</v>
      </c>
      <c r="F81">
        <v>714000</v>
      </c>
      <c r="G81">
        <v>220776.14367135119</v>
      </c>
      <c r="H81">
        <v>716000</v>
      </c>
      <c r="I81">
        <v>234931.37240562146</v>
      </c>
      <c r="M81">
        <v>7150</v>
      </c>
      <c r="N81">
        <v>1337.1136634617581</v>
      </c>
      <c r="T81">
        <v>7330</v>
      </c>
      <c r="U81">
        <v>3163.45766</v>
      </c>
      <c r="AA81">
        <v>7520.7650077677936</v>
      </c>
      <c r="AB81">
        <v>1582.8571428571438</v>
      </c>
      <c r="AH81">
        <v>7772.0295782376888</v>
      </c>
      <c r="AI81">
        <v>4323.4285714285716</v>
      </c>
    </row>
    <row r="82" spans="1:35" x14ac:dyDescent="0.25">
      <c r="A82">
        <v>7900</v>
      </c>
      <c r="B82">
        <v>714000</v>
      </c>
      <c r="C82">
        <v>287761.09466082405</v>
      </c>
      <c r="D82">
        <v>716000</v>
      </c>
      <c r="E82">
        <v>345313.31359298882</v>
      </c>
      <c r="F82">
        <v>714000</v>
      </c>
      <c r="G82">
        <v>216816.14367135119</v>
      </c>
      <c r="H82">
        <v>716000</v>
      </c>
      <c r="I82">
        <v>230179.37240562146</v>
      </c>
      <c r="M82">
        <v>7150</v>
      </c>
      <c r="N82">
        <v>1298.0973960130329</v>
      </c>
      <c r="T82">
        <v>7330</v>
      </c>
      <c r="U82">
        <v>3167.8276299999998</v>
      </c>
      <c r="AA82">
        <v>7533.7392395170064</v>
      </c>
      <c r="AB82">
        <v>1625.7142857142862</v>
      </c>
      <c r="AH82">
        <v>7782.1384605669464</v>
      </c>
      <c r="AI82">
        <v>4378.8571428571431</v>
      </c>
    </row>
    <row r="83" spans="1:35" x14ac:dyDescent="0.25">
      <c r="A83">
        <v>8000</v>
      </c>
      <c r="B83">
        <v>714000</v>
      </c>
      <c r="C83">
        <v>283801.09466082405</v>
      </c>
      <c r="D83">
        <v>716000</v>
      </c>
      <c r="E83">
        <v>340561.31359298882</v>
      </c>
      <c r="F83">
        <v>714000</v>
      </c>
      <c r="G83">
        <v>212856.14367135119</v>
      </c>
      <c r="H83">
        <v>716000</v>
      </c>
      <c r="I83">
        <v>225427.37240562146</v>
      </c>
      <c r="M83">
        <v>7150</v>
      </c>
      <c r="N83">
        <v>1259.0811285643076</v>
      </c>
      <c r="T83">
        <v>7330</v>
      </c>
      <c r="U83">
        <v>3172.1976</v>
      </c>
      <c r="AA83">
        <v>7546.5798553365594</v>
      </c>
      <c r="AB83">
        <v>1668.5714285714294</v>
      </c>
      <c r="AH83">
        <v>7792.1154489134715</v>
      </c>
      <c r="AI83">
        <v>4434.2857142857147</v>
      </c>
    </row>
    <row r="84" spans="1:35" x14ac:dyDescent="0.25">
      <c r="A84">
        <v>8100</v>
      </c>
      <c r="B84">
        <v>714000</v>
      </c>
      <c r="C84">
        <v>279841.09466082405</v>
      </c>
      <c r="D84">
        <v>716000</v>
      </c>
      <c r="E84">
        <v>335809.31359298882</v>
      </c>
      <c r="F84">
        <v>714000</v>
      </c>
      <c r="G84">
        <v>208896.14367135119</v>
      </c>
      <c r="H84">
        <v>716000</v>
      </c>
      <c r="I84">
        <v>220675.37240562146</v>
      </c>
      <c r="M84">
        <v>7150</v>
      </c>
      <c r="N84">
        <v>1220.0648611155825</v>
      </c>
      <c r="T84">
        <v>7330</v>
      </c>
      <c r="U84">
        <v>3176.5675699999997</v>
      </c>
      <c r="AA84">
        <v>7559.2870556531852</v>
      </c>
      <c r="AB84">
        <v>1711.4285714285716</v>
      </c>
      <c r="AH84">
        <v>7801.960485949332</v>
      </c>
      <c r="AI84">
        <v>4489.7142857142853</v>
      </c>
    </row>
    <row r="85" spans="1:35" x14ac:dyDescent="0.25">
      <c r="A85">
        <v>8200</v>
      </c>
      <c r="B85">
        <v>714000</v>
      </c>
      <c r="C85">
        <v>275881.09466082405</v>
      </c>
      <c r="D85">
        <v>716000</v>
      </c>
      <c r="E85">
        <v>331057.31359298882</v>
      </c>
      <c r="F85">
        <v>714000</v>
      </c>
      <c r="G85">
        <v>204936.14367135119</v>
      </c>
      <c r="H85">
        <v>716000</v>
      </c>
      <c r="I85">
        <v>215923.37240562146</v>
      </c>
      <c r="M85">
        <v>7150</v>
      </c>
      <c r="N85">
        <v>1181.048593666857</v>
      </c>
      <c r="T85">
        <v>7330</v>
      </c>
      <c r="U85">
        <v>3180.9375399999999</v>
      </c>
      <c r="AA85">
        <v>7571.8610293759448</v>
      </c>
      <c r="AB85">
        <v>1754.2857142857149</v>
      </c>
      <c r="AH85">
        <v>7811.6735016442544</v>
      </c>
      <c r="AI85">
        <v>4545.1428571428569</v>
      </c>
    </row>
    <row r="86" spans="1:35" x14ac:dyDescent="0.25">
      <c r="A86">
        <v>8300</v>
      </c>
      <c r="B86">
        <v>714000</v>
      </c>
      <c r="C86">
        <v>271921.09466082405</v>
      </c>
      <c r="D86">
        <v>716000</v>
      </c>
      <c r="E86">
        <v>326305.31359298882</v>
      </c>
      <c r="F86">
        <v>714000</v>
      </c>
      <c r="G86">
        <v>200976.14367135119</v>
      </c>
      <c r="H86">
        <v>716000</v>
      </c>
      <c r="I86">
        <v>211171.37240562146</v>
      </c>
      <c r="M86">
        <v>7150</v>
      </c>
      <c r="N86">
        <v>1142.0323262181321</v>
      </c>
      <c r="T86">
        <v>7330</v>
      </c>
      <c r="U86">
        <v>3185.3075100000001</v>
      </c>
      <c r="AA86">
        <v>7584.3019538869285</v>
      </c>
      <c r="AB86">
        <v>1797.1428571428571</v>
      </c>
      <c r="AH86">
        <v>7821.2544131557579</v>
      </c>
      <c r="AI86">
        <v>4600.5714285714284</v>
      </c>
    </row>
    <row r="87" spans="1:35" x14ac:dyDescent="0.25">
      <c r="A87">
        <v>8400</v>
      </c>
      <c r="B87">
        <v>714000</v>
      </c>
      <c r="C87">
        <v>267961.09466082405</v>
      </c>
      <c r="D87">
        <v>716000</v>
      </c>
      <c r="E87">
        <v>321553.31359298882</v>
      </c>
      <c r="F87">
        <v>714000</v>
      </c>
      <c r="G87">
        <v>197016.14367135119</v>
      </c>
      <c r="H87">
        <v>716000</v>
      </c>
      <c r="I87">
        <v>206419.37240562146</v>
      </c>
      <c r="M87">
        <v>7150</v>
      </c>
      <c r="N87">
        <v>1103.0160587694065</v>
      </c>
      <c r="T87">
        <v>7330</v>
      </c>
      <c r="U87">
        <v>3189.6774799999998</v>
      </c>
      <c r="AA87">
        <v>7596.6099950278531</v>
      </c>
      <c r="AB87">
        <v>1840.0000000000005</v>
      </c>
      <c r="AH87">
        <v>7830.7031247136847</v>
      </c>
      <c r="AI87">
        <v>4656</v>
      </c>
    </row>
    <row r="88" spans="1:35" x14ac:dyDescent="0.25">
      <c r="A88">
        <v>8500</v>
      </c>
      <c r="B88">
        <v>249000</v>
      </c>
      <c r="C88">
        <v>75783.402328451717</v>
      </c>
      <c r="D88">
        <v>295000</v>
      </c>
      <c r="E88">
        <v>90940.082794142072</v>
      </c>
      <c r="F88">
        <v>249000</v>
      </c>
      <c r="G88">
        <v>163866.05202694651</v>
      </c>
      <c r="H88">
        <v>295000</v>
      </c>
      <c r="I88">
        <v>166639.26243233579</v>
      </c>
      <c r="M88">
        <v>7330</v>
      </c>
      <c r="N88">
        <v>6428.857142857144</v>
      </c>
      <c r="T88">
        <v>7330</v>
      </c>
      <c r="U88">
        <v>3194.04745</v>
      </c>
      <c r="AA88">
        <v>7608.7853070825286</v>
      </c>
      <c r="AB88">
        <v>1882.8571428571436</v>
      </c>
      <c r="AH88">
        <v>7840.0195274990401</v>
      </c>
      <c r="AI88">
        <v>4711.4285714285716</v>
      </c>
    </row>
    <row r="89" spans="1:35" x14ac:dyDescent="0.25">
      <c r="A89">
        <v>8600</v>
      </c>
      <c r="B89">
        <v>249000</v>
      </c>
      <c r="C89">
        <v>73758.402328451717</v>
      </c>
      <c r="D89">
        <v>295000</v>
      </c>
      <c r="E89">
        <v>88510.082794142072</v>
      </c>
      <c r="F89">
        <v>249000</v>
      </c>
      <c r="G89">
        <v>161841.05202694651</v>
      </c>
      <c r="H89">
        <v>295000</v>
      </c>
      <c r="I89">
        <v>164209.26243233579</v>
      </c>
      <c r="M89">
        <v>7330</v>
      </c>
      <c r="N89">
        <v>6433.3142857142857</v>
      </c>
      <c r="T89">
        <v>7330</v>
      </c>
      <c r="U89">
        <v>3198.4174199999998</v>
      </c>
      <c r="AA89">
        <v>7620.8280327551438</v>
      </c>
      <c r="AB89">
        <v>1925.714285714286</v>
      </c>
      <c r="AH89">
        <v>7849.203499516977</v>
      </c>
      <c r="AI89">
        <v>4766.8571428571422</v>
      </c>
    </row>
    <row r="90" spans="1:35" x14ac:dyDescent="0.25">
      <c r="A90">
        <v>8700</v>
      </c>
      <c r="B90">
        <v>249000</v>
      </c>
      <c r="C90">
        <v>71733.402328451717</v>
      </c>
      <c r="D90">
        <v>295000</v>
      </c>
      <c r="E90">
        <v>86080.082794142072</v>
      </c>
      <c r="F90">
        <v>249000</v>
      </c>
      <c r="G90">
        <v>159816.05202694651</v>
      </c>
      <c r="H90">
        <v>295000</v>
      </c>
      <c r="I90">
        <v>161779.26243233579</v>
      </c>
      <c r="M90">
        <v>7330</v>
      </c>
      <c r="N90">
        <v>6437.7714285714283</v>
      </c>
      <c r="T90">
        <v>7330</v>
      </c>
      <c r="U90">
        <v>3202.78739</v>
      </c>
      <c r="AA90">
        <v>7632.7383031443833</v>
      </c>
      <c r="AB90">
        <v>1968.5714285714291</v>
      </c>
      <c r="AH90">
        <v>7858.2549054637984</v>
      </c>
      <c r="AI90">
        <v>4822.2857142857138</v>
      </c>
    </row>
    <row r="91" spans="1:35" x14ac:dyDescent="0.25">
      <c r="A91">
        <v>8800</v>
      </c>
      <c r="B91">
        <v>249000</v>
      </c>
      <c r="C91">
        <v>69708.402328451717</v>
      </c>
      <c r="D91">
        <v>295000</v>
      </c>
      <c r="E91">
        <v>83650.082794142072</v>
      </c>
      <c r="F91">
        <v>249000</v>
      </c>
      <c r="G91">
        <v>157791.05202694651</v>
      </c>
      <c r="H91">
        <v>295000</v>
      </c>
      <c r="I91">
        <v>159349.26243233579</v>
      </c>
      <c r="M91">
        <v>7330</v>
      </c>
      <c r="N91">
        <v>6442.2285714285708</v>
      </c>
      <c r="T91">
        <v>7330</v>
      </c>
      <c r="U91">
        <v>3207.1573599999997</v>
      </c>
      <c r="AA91">
        <v>7644.5162377132792</v>
      </c>
      <c r="AB91">
        <v>2011.4285714285716</v>
      </c>
      <c r="AH91">
        <v>7867.173596587867</v>
      </c>
      <c r="AI91">
        <v>4877.7142857142853</v>
      </c>
    </row>
    <row r="92" spans="1:35" x14ac:dyDescent="0.25">
      <c r="A92">
        <v>8900</v>
      </c>
      <c r="B92">
        <v>249000</v>
      </c>
      <c r="C92">
        <v>67683.402328451717</v>
      </c>
      <c r="D92">
        <v>295000</v>
      </c>
      <c r="E92">
        <v>81220.082794142072</v>
      </c>
      <c r="F92">
        <v>249000</v>
      </c>
      <c r="G92">
        <v>155766.05202694651</v>
      </c>
      <c r="H92">
        <v>295000</v>
      </c>
      <c r="I92">
        <v>156919.26243233579</v>
      </c>
      <c r="M92">
        <v>7330</v>
      </c>
      <c r="N92">
        <v>6446.6857142857143</v>
      </c>
      <c r="T92">
        <v>7330</v>
      </c>
      <c r="U92">
        <v>3211.5273299999999</v>
      </c>
      <c r="AA92">
        <v>7656.1619442548017</v>
      </c>
      <c r="AB92">
        <v>2057.7142857142853</v>
      </c>
      <c r="AH92">
        <v>7875.9594105442038</v>
      </c>
      <c r="AI92">
        <v>4933.1428571428569</v>
      </c>
    </row>
    <row r="93" spans="1:35" x14ac:dyDescent="0.25">
      <c r="A93">
        <v>9000</v>
      </c>
      <c r="B93">
        <v>249000</v>
      </c>
      <c r="C93">
        <v>65658.402328451717</v>
      </c>
      <c r="D93">
        <v>295000</v>
      </c>
      <c r="E93">
        <v>78790.082794142072</v>
      </c>
      <c r="F93">
        <v>249000</v>
      </c>
      <c r="G93">
        <v>153741.05202694651</v>
      </c>
      <c r="H93">
        <v>295000</v>
      </c>
      <c r="I93">
        <v>154489.26243233579</v>
      </c>
      <c r="M93">
        <v>7330</v>
      </c>
      <c r="N93">
        <v>6451.1428571428578</v>
      </c>
      <c r="T93">
        <v>7330</v>
      </c>
      <c r="U93">
        <v>3215.8973000000001</v>
      </c>
      <c r="AA93">
        <v>7667.6755188531115</v>
      </c>
      <c r="AB93">
        <v>2104.0000000000005</v>
      </c>
      <c r="AH93">
        <v>7884.612171242703</v>
      </c>
      <c r="AI93">
        <v>4988.5714285714284</v>
      </c>
    </row>
    <row r="94" spans="1:35" x14ac:dyDescent="0.25">
      <c r="A94">
        <v>9100</v>
      </c>
      <c r="B94">
        <v>249000</v>
      </c>
      <c r="C94">
        <v>63633.402328451724</v>
      </c>
      <c r="D94">
        <v>295000</v>
      </c>
      <c r="E94">
        <v>76360.082794142072</v>
      </c>
      <c r="F94">
        <v>249000</v>
      </c>
      <c r="G94">
        <v>151716.05202694651</v>
      </c>
      <c r="H94">
        <v>295000</v>
      </c>
      <c r="I94">
        <v>152059.26243233579</v>
      </c>
      <c r="M94">
        <v>7330</v>
      </c>
      <c r="N94">
        <v>6455.5999999999995</v>
      </c>
      <c r="T94">
        <v>7330</v>
      </c>
      <c r="U94">
        <v>3220.2672699999998</v>
      </c>
      <c r="AA94">
        <v>7679.0570458404654</v>
      </c>
      <c r="AB94">
        <v>2150.2857142857151</v>
      </c>
      <c r="AH94">
        <v>7893.1316886897221</v>
      </c>
      <c r="AI94">
        <v>5058.8571428571431</v>
      </c>
    </row>
    <row r="95" spans="1:35" x14ac:dyDescent="0.25">
      <c r="A95">
        <v>9200</v>
      </c>
      <c r="B95">
        <v>249000</v>
      </c>
      <c r="C95">
        <v>61608.402328451724</v>
      </c>
      <c r="D95">
        <v>295000</v>
      </c>
      <c r="E95">
        <v>73930.082794142072</v>
      </c>
      <c r="F95">
        <v>249000</v>
      </c>
      <c r="G95">
        <v>149691.05202694651</v>
      </c>
      <c r="H95">
        <v>295000</v>
      </c>
      <c r="I95">
        <v>149629.26243233579</v>
      </c>
      <c r="M95">
        <v>7330</v>
      </c>
      <c r="N95">
        <v>6460.057142857142</v>
      </c>
      <c r="T95">
        <v>7330</v>
      </c>
      <c r="U95">
        <v>3224.63724</v>
      </c>
      <c r="AA95">
        <v>7690.3065977496717</v>
      </c>
      <c r="AB95">
        <v>2196.5714285714284</v>
      </c>
      <c r="AH95">
        <v>7901.5177588229353</v>
      </c>
      <c r="AI95">
        <v>5129.1428571428569</v>
      </c>
    </row>
    <row r="96" spans="1:35" x14ac:dyDescent="0.25">
      <c r="A96">
        <v>9300</v>
      </c>
      <c r="B96">
        <v>249000</v>
      </c>
      <c r="C96">
        <v>59583.402328451724</v>
      </c>
      <c r="D96">
        <v>295000</v>
      </c>
      <c r="E96">
        <v>71500.082794142072</v>
      </c>
      <c r="F96">
        <v>249000</v>
      </c>
      <c r="G96">
        <v>147666.05202694651</v>
      </c>
      <c r="H96">
        <v>295000</v>
      </c>
      <c r="I96">
        <v>147199.26243233579</v>
      </c>
      <c r="M96">
        <v>7330</v>
      </c>
      <c r="N96">
        <v>6464.5142857142873</v>
      </c>
      <c r="T96">
        <v>7330</v>
      </c>
      <c r="U96">
        <v>3229.0072099999998</v>
      </c>
      <c r="AA96">
        <v>7701.4242352620704</v>
      </c>
      <c r="AB96">
        <v>2242.8571428571431</v>
      </c>
      <c r="AH96">
        <v>7909.7701633392226</v>
      </c>
      <c r="AI96">
        <v>5199.4285714285716</v>
      </c>
    </row>
    <row r="97" spans="1:35" x14ac:dyDescent="0.25">
      <c r="A97">
        <v>9400</v>
      </c>
      <c r="B97">
        <v>249000</v>
      </c>
      <c r="C97">
        <v>57558.402328451724</v>
      </c>
      <c r="D97">
        <v>295000</v>
      </c>
      <c r="E97">
        <v>69070.082794142072</v>
      </c>
      <c r="F97">
        <v>249000</v>
      </c>
      <c r="G97">
        <v>145641.05202694651</v>
      </c>
      <c r="H97">
        <v>295000</v>
      </c>
      <c r="I97">
        <v>144769.26243233579</v>
      </c>
      <c r="M97">
        <v>7330</v>
      </c>
      <c r="N97">
        <v>6468.971428571429</v>
      </c>
      <c r="T97">
        <v>7330</v>
      </c>
      <c r="U97">
        <v>3233.37718</v>
      </c>
      <c r="AA97">
        <v>7712.4100071509838</v>
      </c>
      <c r="AB97">
        <v>2289.1428571428573</v>
      </c>
      <c r="AH97">
        <v>7917.8886695154433</v>
      </c>
      <c r="AI97">
        <v>5269.7142857142853</v>
      </c>
    </row>
    <row r="98" spans="1:35" x14ac:dyDescent="0.25">
      <c r="A98">
        <v>9500</v>
      </c>
      <c r="B98">
        <v>249000</v>
      </c>
      <c r="C98">
        <v>55533.402328451724</v>
      </c>
      <c r="D98">
        <v>295000</v>
      </c>
      <c r="E98">
        <v>66640.082794142072</v>
      </c>
      <c r="F98">
        <v>249000</v>
      </c>
      <c r="G98">
        <v>143616.05202694651</v>
      </c>
      <c r="H98">
        <v>295000</v>
      </c>
      <c r="I98">
        <v>142339.26243233579</v>
      </c>
      <c r="M98">
        <v>7330</v>
      </c>
      <c r="N98">
        <v>6473.4285714285716</v>
      </c>
      <c r="T98">
        <v>7330</v>
      </c>
      <c r="U98">
        <v>3237.7471499999997</v>
      </c>
      <c r="AA98">
        <v>7723.2639502205529</v>
      </c>
      <c r="AB98">
        <v>2335.428571428572</v>
      </c>
      <c r="AH98">
        <v>7925.873030021874</v>
      </c>
      <c r="AI98">
        <v>5340</v>
      </c>
    </row>
    <row r="99" spans="1:35" x14ac:dyDescent="0.25">
      <c r="A99">
        <v>9600</v>
      </c>
      <c r="B99">
        <v>249000</v>
      </c>
      <c r="C99">
        <v>53508.402328451724</v>
      </c>
      <c r="D99">
        <v>295000</v>
      </c>
      <c r="E99">
        <v>64210.082794142072</v>
      </c>
      <c r="F99">
        <v>249000</v>
      </c>
      <c r="G99">
        <v>141591.05202694651</v>
      </c>
      <c r="H99">
        <v>295000</v>
      </c>
      <c r="I99">
        <v>139909.26243233579</v>
      </c>
      <c r="M99">
        <v>7330</v>
      </c>
      <c r="N99">
        <v>6477.8857142857141</v>
      </c>
      <c r="T99">
        <v>7330</v>
      </c>
      <c r="U99">
        <v>3242.1171199999999</v>
      </c>
      <c r="AA99">
        <v>7733.9860892398783</v>
      </c>
      <c r="AB99">
        <v>2381.7142857142853</v>
      </c>
      <c r="AH99">
        <v>7933.7229827281008</v>
      </c>
      <c r="AI99">
        <v>5410.2857142857147</v>
      </c>
    </row>
    <row r="100" spans="1:35" x14ac:dyDescent="0.25">
      <c r="A100">
        <v>9700</v>
      </c>
      <c r="B100">
        <v>249000</v>
      </c>
      <c r="C100">
        <v>51483.402328451724</v>
      </c>
      <c r="D100">
        <v>295000</v>
      </c>
      <c r="E100">
        <v>61780.082794142072</v>
      </c>
      <c r="F100">
        <v>249000</v>
      </c>
      <c r="G100">
        <v>139566.05202694651</v>
      </c>
      <c r="H100">
        <v>295000</v>
      </c>
      <c r="I100">
        <v>137479.26243233579</v>
      </c>
      <c r="M100">
        <v>7330</v>
      </c>
      <c r="N100">
        <v>6482.3428571428585</v>
      </c>
      <c r="T100">
        <v>7330</v>
      </c>
      <c r="U100">
        <v>3246.4870900000001</v>
      </c>
      <c r="AA100">
        <v>7744.5764368724513</v>
      </c>
      <c r="AB100">
        <v>2428</v>
      </c>
      <c r="AH100">
        <v>7941.4382505011781</v>
      </c>
      <c r="AI100">
        <v>5480.5714285714284</v>
      </c>
    </row>
    <row r="101" spans="1:35" x14ac:dyDescent="0.25">
      <c r="A101">
        <v>9800</v>
      </c>
      <c r="B101">
        <v>249000</v>
      </c>
      <c r="C101">
        <v>49458.402328451724</v>
      </c>
      <c r="D101">
        <v>295000</v>
      </c>
      <c r="E101">
        <v>59350.082794142072</v>
      </c>
      <c r="F101">
        <v>249000</v>
      </c>
      <c r="G101">
        <v>137541.05202694651</v>
      </c>
      <c r="H101">
        <v>295000</v>
      </c>
      <c r="I101">
        <v>135049.26243233579</v>
      </c>
      <c r="M101">
        <v>7330</v>
      </c>
      <c r="N101">
        <v>6486.8</v>
      </c>
      <c r="T101">
        <v>7330</v>
      </c>
      <c r="U101">
        <v>3250.8570599999998</v>
      </c>
      <c r="AA101">
        <v>7755.0349936007178</v>
      </c>
      <c r="AB101">
        <v>2474.2857142857142</v>
      </c>
      <c r="AH101">
        <v>7949.0185409957849</v>
      </c>
      <c r="AI101">
        <v>5550.8571428571431</v>
      </c>
    </row>
    <row r="102" spans="1:35" x14ac:dyDescent="0.25">
      <c r="A102">
        <v>9900</v>
      </c>
      <c r="B102">
        <v>249000</v>
      </c>
      <c r="C102">
        <v>47433.402328451732</v>
      </c>
      <c r="D102">
        <v>295000</v>
      </c>
      <c r="E102">
        <v>56920.082794142079</v>
      </c>
      <c r="F102">
        <v>249000</v>
      </c>
      <c r="G102">
        <v>135516.05202694651</v>
      </c>
      <c r="H102">
        <v>295000</v>
      </c>
      <c r="I102">
        <v>132619.26243233579</v>
      </c>
      <c r="M102">
        <v>7330</v>
      </c>
      <c r="N102">
        <v>6491.2571428571428</v>
      </c>
      <c r="T102">
        <v>7330</v>
      </c>
      <c r="U102">
        <v>3255.22703</v>
      </c>
      <c r="AA102">
        <v>7765.3617476457675</v>
      </c>
      <c r="AB102">
        <v>2520.5714285714289</v>
      </c>
      <c r="AH102">
        <v>7956.4635464361863</v>
      </c>
      <c r="AI102">
        <v>5621.1428571428578</v>
      </c>
    </row>
    <row r="103" spans="1:35" x14ac:dyDescent="0.25">
      <c r="A103">
        <v>10000</v>
      </c>
      <c r="B103">
        <v>249000</v>
      </c>
      <c r="C103">
        <v>45408.402328451732</v>
      </c>
      <c r="D103">
        <v>295000</v>
      </c>
      <c r="E103">
        <v>54490.082794142079</v>
      </c>
      <c r="F103">
        <v>249000</v>
      </c>
      <c r="G103">
        <v>133491.05202694651</v>
      </c>
      <c r="H103">
        <v>295000</v>
      </c>
      <c r="I103">
        <v>130189.26243233579</v>
      </c>
      <c r="M103">
        <v>7330</v>
      </c>
      <c r="N103">
        <v>6495.7142857142853</v>
      </c>
      <c r="T103">
        <v>7330</v>
      </c>
      <c r="U103">
        <v>3259.5969999999998</v>
      </c>
      <c r="AA103">
        <v>7775.5566748819901</v>
      </c>
      <c r="AB103">
        <v>2566.8571428571422</v>
      </c>
      <c r="AH103">
        <v>7963.7729433897139</v>
      </c>
      <c r="AI103">
        <v>5691.4285714285716</v>
      </c>
    </row>
    <row r="104" spans="1:35" x14ac:dyDescent="0.25">
      <c r="A104">
        <v>10100</v>
      </c>
      <c r="B104">
        <v>249000</v>
      </c>
      <c r="C104">
        <v>43383.402328451732</v>
      </c>
      <c r="D104">
        <v>295000</v>
      </c>
      <c r="E104">
        <v>52060.082794142079</v>
      </c>
      <c r="F104">
        <v>249000</v>
      </c>
      <c r="G104">
        <v>131466.05202694651</v>
      </c>
      <c r="H104">
        <v>295000</v>
      </c>
      <c r="I104">
        <v>127759.26243233579</v>
      </c>
      <c r="M104">
        <v>7330</v>
      </c>
      <c r="N104">
        <v>6500.171428571427</v>
      </c>
      <c r="T104">
        <v>7330</v>
      </c>
      <c r="U104">
        <v>3263.9669699999999</v>
      </c>
      <c r="AA104">
        <v>7785.6197387466718</v>
      </c>
      <c r="AB104">
        <v>2613.1428571428578</v>
      </c>
      <c r="AH104">
        <v>7970.9463925315304</v>
      </c>
      <c r="AI104">
        <v>5761.7142857142862</v>
      </c>
    </row>
    <row r="105" spans="1:35" x14ac:dyDescent="0.25">
      <c r="A105">
        <v>10200</v>
      </c>
      <c r="B105">
        <v>249000</v>
      </c>
      <c r="C105">
        <v>41358.402328451732</v>
      </c>
      <c r="D105">
        <v>295000</v>
      </c>
      <c r="E105">
        <v>49630.082794142079</v>
      </c>
      <c r="F105">
        <v>249000</v>
      </c>
      <c r="G105">
        <v>129441.05202694649</v>
      </c>
      <c r="H105">
        <v>295000</v>
      </c>
      <c r="I105">
        <v>125329.26243233579</v>
      </c>
      <c r="M105">
        <v>7330</v>
      </c>
      <c r="N105">
        <v>6504.6285714285723</v>
      </c>
      <c r="T105">
        <v>7330</v>
      </c>
      <c r="U105">
        <v>-1059.52</v>
      </c>
      <c r="AA105">
        <v>7795.5508901443945</v>
      </c>
      <c r="AB105">
        <v>2659.4285714285716</v>
      </c>
      <c r="AH105">
        <v>7977.9835384003882</v>
      </c>
      <c r="AI105">
        <v>5832</v>
      </c>
    </row>
    <row r="106" spans="1:35" x14ac:dyDescent="0.25">
      <c r="A106">
        <v>10300</v>
      </c>
      <c r="B106">
        <v>249000</v>
      </c>
      <c r="C106">
        <v>39333.402328451732</v>
      </c>
      <c r="D106">
        <v>295000</v>
      </c>
      <c r="E106">
        <v>47200.082794142079</v>
      </c>
      <c r="F106">
        <v>249000</v>
      </c>
      <c r="G106">
        <v>127416.05202694649</v>
      </c>
      <c r="H106">
        <v>295000</v>
      </c>
      <c r="I106">
        <v>122899.26243233579</v>
      </c>
      <c r="M106">
        <v>7330</v>
      </c>
      <c r="N106">
        <v>6509.0857142857149</v>
      </c>
      <c r="T106">
        <v>7330</v>
      </c>
      <c r="U106">
        <v>-1097.58</v>
      </c>
      <c r="AA106">
        <v>7805.3500673461358</v>
      </c>
      <c r="AB106">
        <v>2705.7142857142858</v>
      </c>
      <c r="AH106">
        <v>7984.884009145112</v>
      </c>
      <c r="AI106">
        <v>5902.2857142857147</v>
      </c>
    </row>
    <row r="107" spans="1:35" x14ac:dyDescent="0.25">
      <c r="A107">
        <v>10400</v>
      </c>
      <c r="B107">
        <v>249000</v>
      </c>
      <c r="C107">
        <v>37308.402328451732</v>
      </c>
      <c r="D107">
        <v>295000</v>
      </c>
      <c r="E107">
        <v>44770.082794142079</v>
      </c>
      <c r="F107">
        <v>249000</v>
      </c>
      <c r="G107">
        <v>125391.05202694649</v>
      </c>
      <c r="H107">
        <v>295000</v>
      </c>
      <c r="I107">
        <v>120469.26243233579</v>
      </c>
      <c r="M107">
        <v>7330</v>
      </c>
      <c r="N107">
        <v>6513.5428571428574</v>
      </c>
      <c r="T107">
        <v>7330</v>
      </c>
      <c r="U107">
        <v>-1135.6400000000001</v>
      </c>
      <c r="AA107">
        <v>7815.0171958829915</v>
      </c>
      <c r="AB107">
        <v>2751.9999999999995</v>
      </c>
      <c r="AH107">
        <v>7991.6474162615159</v>
      </c>
      <c r="AI107">
        <v>5972.5714285714294</v>
      </c>
    </row>
    <row r="108" spans="1:35" x14ac:dyDescent="0.25">
      <c r="A108">
        <v>10500</v>
      </c>
      <c r="B108">
        <v>249000</v>
      </c>
      <c r="C108">
        <v>35283.402328451732</v>
      </c>
      <c r="D108">
        <v>295000</v>
      </c>
      <c r="E108">
        <v>42340.082794142079</v>
      </c>
      <c r="F108">
        <v>249000</v>
      </c>
      <c r="G108">
        <v>123366.05202694649</v>
      </c>
      <c r="H108">
        <v>295000</v>
      </c>
      <c r="I108">
        <v>118039.26243233579</v>
      </c>
      <c r="M108">
        <v>7330</v>
      </c>
      <c r="N108">
        <v>6517.9999999999991</v>
      </c>
      <c r="T108">
        <v>7330</v>
      </c>
      <c r="U108">
        <v>-1173.7</v>
      </c>
      <c r="AA108">
        <v>7824.5521884343698</v>
      </c>
      <c r="AB108">
        <v>2798.2857142857147</v>
      </c>
      <c r="AH108">
        <v>7998.2733543193963</v>
      </c>
      <c r="AI108">
        <v>6042.8571428571431</v>
      </c>
    </row>
    <row r="109" spans="1:35" x14ac:dyDescent="0.25">
      <c r="A109">
        <v>10600</v>
      </c>
      <c r="B109">
        <v>249000</v>
      </c>
      <c r="C109">
        <v>33258.402328451732</v>
      </c>
      <c r="D109">
        <v>295000</v>
      </c>
      <c r="E109">
        <v>39910.082794142079</v>
      </c>
      <c r="F109">
        <v>249000</v>
      </c>
      <c r="G109">
        <v>121341.05202694649</v>
      </c>
      <c r="H109">
        <v>295000</v>
      </c>
      <c r="I109">
        <v>115609.26243233579</v>
      </c>
      <c r="M109">
        <v>7330</v>
      </c>
      <c r="N109">
        <v>6522.4571428571435</v>
      </c>
      <c r="T109">
        <v>7330</v>
      </c>
      <c r="U109">
        <v>-1211.76</v>
      </c>
      <c r="AA109">
        <v>7833.9549447105619</v>
      </c>
      <c r="AB109">
        <v>2844.5714285714284</v>
      </c>
      <c r="AH109">
        <v>8004.7614006793519</v>
      </c>
      <c r="AI109">
        <v>6113.1428571428578</v>
      </c>
    </row>
    <row r="110" spans="1:35" x14ac:dyDescent="0.25">
      <c r="A110">
        <v>10700</v>
      </c>
      <c r="B110">
        <v>249000</v>
      </c>
      <c r="C110">
        <v>31233.402328451732</v>
      </c>
      <c r="D110">
        <v>295000</v>
      </c>
      <c r="E110">
        <v>37480.082794142079</v>
      </c>
      <c r="F110">
        <v>249000</v>
      </c>
      <c r="G110">
        <v>119316.05202694649</v>
      </c>
      <c r="H110">
        <v>295000</v>
      </c>
      <c r="I110">
        <v>113179.26243233579</v>
      </c>
      <c r="M110">
        <v>7330</v>
      </c>
      <c r="N110">
        <v>6526.9142857142861</v>
      </c>
      <c r="T110">
        <v>7330</v>
      </c>
      <c r="U110">
        <v>-1249.82</v>
      </c>
      <c r="AA110">
        <v>7843.2253513295636</v>
      </c>
      <c r="AB110">
        <v>2890.8571428571431</v>
      </c>
      <c r="AH110">
        <v>8011.1111151990071</v>
      </c>
      <c r="AI110">
        <v>6183.4285714285706</v>
      </c>
    </row>
    <row r="111" spans="1:35" x14ac:dyDescent="0.25">
      <c r="A111">
        <v>10800</v>
      </c>
      <c r="B111">
        <v>249000</v>
      </c>
      <c r="C111">
        <v>29208.402328451732</v>
      </c>
      <c r="D111">
        <v>295000</v>
      </c>
      <c r="E111">
        <v>35050.082794142079</v>
      </c>
      <c r="F111">
        <v>249000</v>
      </c>
      <c r="G111">
        <v>117291.05202694649</v>
      </c>
      <c r="H111">
        <v>295000</v>
      </c>
      <c r="I111">
        <v>110749.26243233579</v>
      </c>
      <c r="M111">
        <v>7330</v>
      </c>
      <c r="N111">
        <v>6531.3714285714286</v>
      </c>
      <c r="T111">
        <v>7330</v>
      </c>
      <c r="U111">
        <v>-1287.8800000000001</v>
      </c>
      <c r="AA111">
        <v>7852.3632816879908</v>
      </c>
      <c r="AB111">
        <v>2937.1428571428582</v>
      </c>
      <c r="AH111">
        <v>8017.3220399283318</v>
      </c>
      <c r="AI111">
        <v>6253.7142857142853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26</vt:i4>
      </vt:variant>
    </vt:vector>
  </HeadingPairs>
  <TitlesOfParts>
    <vt:vector size="35" baseType="lpstr">
      <vt:lpstr>Intro</vt:lpstr>
      <vt:lpstr>Input</vt:lpstr>
      <vt:lpstr>SCD</vt:lpstr>
      <vt:lpstr>ICD</vt:lpstr>
      <vt:lpstr>PCD</vt:lpstr>
      <vt:lpstr>OutputData</vt:lpstr>
      <vt:lpstr>SurfaceCasingOutput</vt:lpstr>
      <vt:lpstr>IntermediateOutput</vt:lpstr>
      <vt:lpstr>ProductionCasingOutput</vt:lpstr>
      <vt:lpstr>BS</vt:lpstr>
      <vt:lpstr>Depth__ft</vt:lpstr>
      <vt:lpstr>Depth1</vt:lpstr>
      <vt:lpstr>Depth2</vt:lpstr>
      <vt:lpstr>Depth3</vt:lpstr>
      <vt:lpstr>Depth4</vt:lpstr>
      <vt:lpstr>Inven1</vt:lpstr>
      <vt:lpstr>Inven2</vt:lpstr>
      <vt:lpstr>Inven3</vt:lpstr>
      <vt:lpstr>Inven4</vt:lpstr>
      <vt:lpstr>InvMax</vt:lpstr>
      <vt:lpstr>InvMin</vt:lpstr>
      <vt:lpstr>MaxTypes</vt:lpstr>
      <vt:lpstr>MinTypes</vt:lpstr>
      <vt:lpstr>MOP</vt:lpstr>
      <vt:lpstr>NIF</vt:lpstr>
      <vt:lpstr>NOF</vt:lpstr>
      <vt:lpstr>OD</vt:lpstr>
      <vt:lpstr>PD</vt:lpstr>
      <vt:lpstr>Pt</vt:lpstr>
      <vt:lpstr>SFBurst</vt:lpstr>
      <vt:lpstr>SFCollapse</vt:lpstr>
      <vt:lpstr>SFJT</vt:lpstr>
      <vt:lpstr>SFPT</vt:lpstr>
      <vt:lpstr>TestName</vt:lpstr>
      <vt:lpstr>TVD</vt:lpstr>
    </vt:vector>
  </TitlesOfParts>
  <Company>CSM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giovandi suhendi</dc:creator>
  <cp:lastModifiedBy>Jordan Medina</cp:lastModifiedBy>
  <dcterms:created xsi:type="dcterms:W3CDTF">2014-01-23T01:36:37Z</dcterms:created>
  <dcterms:modified xsi:type="dcterms:W3CDTF">2014-03-06T02:44:54Z</dcterms:modified>
</cp:coreProperties>
</file>